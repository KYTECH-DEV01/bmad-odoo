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doo\bmad-odoo\_bmad-output\Tài liệu\Chi Phí\"/>
    </mc:Choice>
  </mc:AlternateContent>
  <xr:revisionPtr revIDLastSave="0" documentId="13_ncr:1_{D5FE5EEB-74AD-4141-8A33-EE752A261408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H - TT - HT" sheetId="1" state="hidden" r:id="rId1"/>
    <sheet name="Chi phí Chặng 1 + 2" sheetId="3" r:id="rId2"/>
    <sheet name="Chi phí chặng 3" sheetId="4" r:id="rId3"/>
    <sheet name="Chi phí chặng 4" sheetId="5" r:id="rId4"/>
    <sheet name="Chi phí chặng 5" sheetId="6" r:id="rId5"/>
    <sheet name="Trang tính5" sheetId="7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7" l="1"/>
  <c r="J36" i="7"/>
  <c r="P35" i="7"/>
  <c r="J35" i="7"/>
  <c r="P34" i="7"/>
  <c r="J34" i="7"/>
  <c r="P33" i="7"/>
  <c r="J33" i="7"/>
  <c r="P32" i="7"/>
  <c r="J32" i="7"/>
  <c r="P26" i="7"/>
  <c r="J26" i="7"/>
  <c r="P25" i="7"/>
  <c r="J25" i="7"/>
  <c r="P24" i="7"/>
  <c r="J24" i="7"/>
  <c r="P23" i="7"/>
  <c r="J23" i="7"/>
  <c r="P22" i="7"/>
  <c r="J22" i="7"/>
  <c r="Q16" i="7"/>
  <c r="J16" i="7"/>
  <c r="Q15" i="7"/>
  <c r="J15" i="7"/>
  <c r="Q14" i="7"/>
  <c r="J14" i="7"/>
  <c r="Q13" i="7"/>
  <c r="J13" i="7"/>
  <c r="Q12" i="7"/>
  <c r="J12" i="7"/>
  <c r="J8" i="7"/>
  <c r="G8" i="7"/>
  <c r="J7" i="7"/>
  <c r="G7" i="7"/>
  <c r="J6" i="7"/>
  <c r="G6" i="7"/>
  <c r="Q5" i="7"/>
  <c r="P5" i="7"/>
  <c r="O5" i="7"/>
  <c r="N5" i="7"/>
  <c r="J5" i="7"/>
  <c r="G5" i="7"/>
  <c r="J4" i="7"/>
  <c r="G4" i="7"/>
  <c r="J3" i="7"/>
  <c r="G3" i="7"/>
  <c r="H43" i="3"/>
  <c r="H42" i="3"/>
  <c r="H38" i="3"/>
  <c r="H36" i="3"/>
  <c r="H35" i="3"/>
</calcChain>
</file>

<file path=xl/sharedStrings.xml><?xml version="1.0" encoding="utf-8"?>
<sst xmlns="http://schemas.openxmlformats.org/spreadsheetml/2006/main" count="1365" uniqueCount="470">
  <si>
    <t>Đối tượng</t>
  </si>
  <si>
    <t>Bảng giá</t>
  </si>
  <si>
    <t>Hoàn thuế</t>
  </si>
  <si>
    <t>STT</t>
  </si>
  <si>
    <t>Nội dung</t>
  </si>
  <si>
    <t>Đơn vị/ ghi chú</t>
  </si>
  <si>
    <t>Đơn giá 0</t>
  </si>
  <si>
    <t>Ghi chú</t>
  </si>
  <si>
    <t>Phí xưởng thu để xhd</t>
  </si>
  <si>
    <t>Phí dịch vụ TQ</t>
  </si>
  <si>
    <t>Tiền hoàn trả khách hàng</t>
  </si>
  <si>
    <t>Phí dịch vụ hoàn thuế:</t>
  </si>
  <si>
    <t>Trên giá trị hàng hóa trước thuế (CNY)</t>
  </si>
  <si>
    <t>Tại thời điểm thanh toán đơn hàng</t>
  </si>
  <si>
    <t>Định nghĩa</t>
  </si>
  <si>
    <t>Phí dịch vụ đối tác TQ thu = 2% * giá trị trước VAT
Giá trước VAT = Giá trị sau VAT/ tỷ lệ xhd (thường là 1.13)
Giá trị sau VAT = Số tiền ngoại tệ (ĐNTT) + Chi phí ứng HT</t>
  </si>
  <si>
    <t>Tiền hoàn thuế cho khách hàng chưa trừ phí dịch vụ DPT thu khách 
= Doanh thu hoàn thuế 
= Tỷ lệ hoàn thuế * Giá trị trước VAT</t>
  </si>
  <si>
    <t>Hệ thống</t>
  </si>
  <si>
    <t>Đã có (tự điền)</t>
  </si>
  <si>
    <t>Đã có</t>
  </si>
  <si>
    <t>Tự doanh</t>
  </si>
  <si>
    <t>x</t>
  </si>
  <si>
    <t>Dịch vụ</t>
  </si>
  <si>
    <t>Mua hàng</t>
  </si>
  <si>
    <t>Giá vốn</t>
  </si>
  <si>
    <t xml:space="preserve">Phí ship nội địa </t>
  </si>
  <si>
    <t>Chi phí mua hàng</t>
  </si>
  <si>
    <t>Hàng hóa phổ thông (không có yêu cầu sản xuất riêng, kích thước, chất liệu, nhẵn mác, logo)</t>
  </si>
  <si>
    <t>Tiền hàng = Số lượng * đơn giá vốn</t>
  </si>
  <si>
    <t>Phí ship hàng từ xưởng đến kho TQ</t>
  </si>
  <si>
    <t>Chi phí mua hàng = Giá vốn + Phí ship nội địa</t>
  </si>
  <si>
    <t>Hàng hóa thực hiện qua 5 nhà cung cấp</t>
  </si>
  <si>
    <t>Chưa phân bổ theo giá trị hàng hóa nhưng đa số đã được xưởng phân bổ vào đơn giá</t>
  </si>
  <si>
    <t>Đã có (ĐNTT Chi phí mua hàng)</t>
  </si>
  <si>
    <t>Hàng hóa có yêu cầu về mặt kỹ thuật (xây dựng, thiết kế, thi công …)</t>
  </si>
  <si>
    <t>Thanh toán</t>
  </si>
  <si>
    <t>Số tiền ngoại tệ</t>
  </si>
  <si>
    <t>Phí chuyển tiền</t>
  </si>
  <si>
    <t>Chi phí thanh toán</t>
  </si>
  <si>
    <t>Số tiền ngoại tệ cần thanh toán</t>
  </si>
  <si>
    <t>Phí chuyển tiền sang TQ</t>
  </si>
  <si>
    <t>Chi phí thanh toán = Số tiền ngoại tệ + phí chuyển tiền</t>
  </si>
  <si>
    <t xml:space="preserve">Đã có </t>
  </si>
  <si>
    <t>Bảng giá đối tác</t>
  </si>
  <si>
    <t xml:space="preserve">Chặng </t>
  </si>
  <si>
    <t>Phòng ban quản lý</t>
  </si>
  <si>
    <t>Phân bổ theo?</t>
  </si>
  <si>
    <t>Dịch vụ tầng cuối (nếu có)</t>
  </si>
  <si>
    <t>Tên đầu mục chi phí</t>
  </si>
  <si>
    <t>Định nghĩa đầu mục chi phí (nếu có)</t>
  </si>
  <si>
    <t>Đối tác</t>
  </si>
  <si>
    <t>Phân loại</t>
  </si>
  <si>
    <t>Đơn vị</t>
  </si>
  <si>
    <t>Đơn giá</t>
  </si>
  <si>
    <t>Note</t>
  </si>
  <si>
    <t>Loại</t>
  </si>
  <si>
    <t xml:space="preserve">Đơn vị </t>
  </si>
  <si>
    <t>Bằng chứng</t>
  </si>
  <si>
    <t>Trạng thái trên hệ thống (Chưa có)</t>
  </si>
  <si>
    <t xml:space="preserve">Thời điểm ghi nhận </t>
  </si>
  <si>
    <t>Thời điểm thanh toán</t>
  </si>
  <si>
    <t>Hiện tại (ai làm? làm ở đâu? làm ntn? khi nào? )</t>
  </si>
  <si>
    <t xml:space="preserve">Thời gian cập nhật </t>
  </si>
  <si>
    <t>Chặng 1</t>
  </si>
  <si>
    <t>Kho TQ</t>
  </si>
  <si>
    <t>Đơn hàng</t>
  </si>
  <si>
    <t xml:space="preserve">Dịch vụ kéo hàng từ kho trung chuyển </t>
  </si>
  <si>
    <t>Chi phí kéo hàng từ kho trung chuyển</t>
  </si>
  <si>
    <t xml:space="preserve">Chi phí DPT đi kéo hàng từ kho trung chuyển đến kho gom </t>
  </si>
  <si>
    <t>0-2.5 m3</t>
  </si>
  <si>
    <t>CNY/ m3</t>
  </si>
  <si>
    <t>Tải trọng &lt; 800kg và 5 m3</t>
  </si>
  <si>
    <t>CNY/ lượt</t>
  </si>
  <si>
    <t>Thanh toán ngay sau khi hàng về kho TQ</t>
  </si>
  <si>
    <t>Ngay sau khi kéo hàng về tới kho TQ</t>
  </si>
  <si>
    <t>&gt;2.5 m3</t>
  </si>
  <si>
    <t>giá phân bổ trung bình theo khoảng cách và loại xe (dựa trên dữ liệu lịch sử 7 tháng) (cost 23-24 tệ/m3)</t>
  </si>
  <si>
    <t>Tải trọng &lt;2200kg và 12 m3</t>
  </si>
  <si>
    <t xml:space="preserve">Tải trọng &gt; 2200  và 12m3 </t>
  </si>
  <si>
    <t>Báo giá riêng</t>
  </si>
  <si>
    <t xml:space="preserve">Vận chuyển nội địa tại TQ </t>
  </si>
  <si>
    <t xml:space="preserve">Kéo hàng từ xưởng </t>
  </si>
  <si>
    <t xml:space="preserve">Chi phí DPT đi kéo hàng từ xưởng đến kho gom/kho TQ </t>
  </si>
  <si>
    <t xml:space="preserve">Báo giá theo từng đơn, có 2 đối tác chính </t>
  </si>
  <si>
    <t>Thanh toán ngay khi hàng về kho TQ</t>
  </si>
  <si>
    <t>Thu hộ trả hộ</t>
  </si>
  <si>
    <t>Chi phí nội địa TQ</t>
  </si>
  <si>
    <t>Chi phí vận chuyển nội địa TQ DPT trả hộ khách hàng</t>
  </si>
  <si>
    <t>theo hóa đơn
Nếu là đơn tiểu ngạch, khách tự thanh toán cho bên kho tiểu ngạch</t>
  </si>
  <si>
    <t>Ngay sau khi hoàn thành xếp xe</t>
  </si>
  <si>
    <t>Chặng 2</t>
  </si>
  <si>
    <t>Bốc xếp tại Trung Quốc</t>
  </si>
  <si>
    <t xml:space="preserve">Chi phí công nhân bốc xếp </t>
  </si>
  <si>
    <t>BX1</t>
  </si>
  <si>
    <t>Thanh toán nửa tháng 1 lần</t>
  </si>
  <si>
    <t>Gia cố hàng hoá kho Trung Quốc</t>
  </si>
  <si>
    <t>Chi phí thuê đối tác</t>
  </si>
  <si>
    <t>Gia cố hàng hoá kho Trung Quốc ( Đóng pallet)</t>
  </si>
  <si>
    <t>CNY/Pallet</t>
  </si>
  <si>
    <t>Gia cố hàng hoá kho Trung Quốc ( Khung Gỗ, thùng gỗ, kích thước &lt;1m3)</t>
  </si>
  <si>
    <t>CNY/m3</t>
  </si>
  <si>
    <t>Gia cố hàng hoá kho Trung Quốc ( Khung Gỗ, thùng gỗ, kích thước &gt;=1m3)</t>
  </si>
  <si>
    <t>Bóc tách hàng hóa kho Trung Quốc</t>
  </si>
  <si>
    <t>Chi phí thuê nhân công</t>
  </si>
  <si>
    <t>Đối soát trạng thái đơn giao hàng nội địa Trung Quốc</t>
  </si>
  <si>
    <t>Kiểm hàng theo yêu cầu kho Trung Quốc</t>
  </si>
  <si>
    <t>Làm tem, nhãn</t>
  </si>
  <si>
    <t>Chi phí in tem</t>
  </si>
  <si>
    <t>Tem nhãn</t>
  </si>
  <si>
    <t>VND/ tem</t>
  </si>
  <si>
    <t>1 cuộn 30 tem 50 cny</t>
  </si>
  <si>
    <t>Tem si bạc</t>
  </si>
  <si>
    <t>Dịch vụ nâng hạ tại kho Trung Quốc</t>
  </si>
  <si>
    <t>Chi phí khai thác xe nâng</t>
  </si>
  <si>
    <t>NH1</t>
  </si>
  <si>
    <t>Giá khai thác xe nâng hàng (Áp dụng đối với Pallet có khối lượng dưới 3000kg, kích thước D*R*C không quá 3*3*3, hàng hóa có thể khai thác bằng xe nâng)</t>
  </si>
  <si>
    <t>CNY/lượt</t>
  </si>
  <si>
    <t>Hàng đóng pallet</t>
  </si>
  <si>
    <t>Auto mất phí nâng hạ</t>
  </si>
  <si>
    <t>Thuê xe nâng trả theo tháng</t>
  </si>
  <si>
    <t>NH2</t>
  </si>
  <si>
    <t>Giá khai thác xe nâng quả khổ quá tải ( Khối lượng trên 3000-4000 kg, Kích thước D*R*C không quá 3,5*3*3</t>
  </si>
  <si>
    <t>Hàng thông thường trên 15kg/ kiện</t>
  </si>
  <si>
    <t>Thuê ngoài trả theo lần</t>
  </si>
  <si>
    <t>Giá khai thác xe nâng hàng quá khổ, quá tải ( Khối lượng trên &gt;4000 kg, Kích thước D*R*C không quá 5*3*3)</t>
  </si>
  <si>
    <t>400 CNY/ kiện đầu, từ kiện thứ 2 là 100 CNY/kiện</t>
  </si>
  <si>
    <t>Hàng thông thường có số lượng kiện &gt;= 100</t>
  </si>
  <si>
    <t>Chi phí khác</t>
  </si>
  <si>
    <t>Các chi phí phát sinh khác</t>
  </si>
  <si>
    <t>Sản lượng</t>
  </si>
  <si>
    <t>m3/tháng</t>
  </si>
  <si>
    <t>Tỷ giá</t>
  </si>
  <si>
    <t>Thuê kho</t>
  </si>
  <si>
    <t>tệ/tháng</t>
  </si>
  <si>
    <t>Lương nhân sự + trợ cấp ăn trưa</t>
  </si>
  <si>
    <t>Tăng ca tối + trợ cấp ăn tối</t>
  </si>
  <si>
    <t>Chi phí bốc xếp</t>
  </si>
  <si>
    <t>Điện + Nước + Mạng+ Điện thoại</t>
  </si>
  <si>
    <t>Chi tiêu khác ( vật tư, sửa chữa,..)</t>
  </si>
  <si>
    <t>Tổng</t>
  </si>
  <si>
    <t>Định mức</t>
  </si>
  <si>
    <t>Chặng 3</t>
  </si>
  <si>
    <t>Chứng từ</t>
  </si>
  <si>
    <t xml:space="preserve">Vận </t>
  </si>
  <si>
    <t>Xe container TQ</t>
  </si>
  <si>
    <t>Phí thuê xe Trung Quốc</t>
  </si>
  <si>
    <t>Chi phí thuê xe cont Trung Quốc</t>
  </si>
  <si>
    <t>CNY</t>
  </si>
  <si>
    <t>Sau khi nhận được bảng chi phí từ đối tác</t>
  </si>
  <si>
    <t>Dịch vụ lưu ca xe Trung Quốc</t>
  </si>
  <si>
    <t>Phí lưu xe TQ</t>
  </si>
  <si>
    <t>Chi phí lưu ca xe</t>
  </si>
  <si>
    <t>Phí lái hộ</t>
  </si>
  <si>
    <t>Chi phí thuê lái xe hộ</t>
  </si>
  <si>
    <t>Phí lưu bãi TQ</t>
  </si>
  <si>
    <t>Chi phí đỗ xe tại bãi chờ Trung Quốc</t>
  </si>
  <si>
    <t xml:space="preserve">Chứng từ </t>
  </si>
  <si>
    <t>Xuất nhập khẩu</t>
  </si>
  <si>
    <t>Tờ khai xuất khẩu</t>
  </si>
  <si>
    <t>Phí báo quan/xe</t>
  </si>
  <si>
    <t>Lệ phí làm thủ tục khai báo hải quan</t>
  </si>
  <si>
    <t>Phí đứng tên xuất khẩu</t>
  </si>
  <si>
    <t>Chi phí để đối tác đừng tên trên tờ khai xuất khẩu</t>
  </si>
  <si>
    <t>Phí Cân xe</t>
  </si>
  <si>
    <t>Chi phí cân xe</t>
  </si>
  <si>
    <t>Phí mở tờ khai nhánh</t>
  </si>
  <si>
    <t>Chi phí mở thêm tờ khai nhánh cho các hàng trên xe</t>
  </si>
  <si>
    <t>CO</t>
  </si>
  <si>
    <t>Phí làm CO và giao CO</t>
  </si>
  <si>
    <t>Chi phí làm giấy chứng nhận nguồn gốc của hàng hóa</t>
  </si>
  <si>
    <t>Cần logic khi nào có khi nào không?</t>
  </si>
  <si>
    <t>Phí làm bằng C</t>
  </si>
  <si>
    <t>Phí làm giấy phép vận tải liên vận Việt - Trung cấp cho xe vận tải hàng hóa (xe tải, xe container) vận chuyển hàng hóa qua lại biên giới</t>
  </si>
  <si>
    <t xml:space="preserve">Hàng hóa </t>
  </si>
  <si>
    <t>Phí bốc hàng tại kho</t>
  </si>
  <si>
    <t>Phí bốc xếp hàng hóa xếp xe</t>
  </si>
  <si>
    <t>Ngay sau khi hoàn thành dịch vụ</t>
  </si>
  <si>
    <t>Dịch vụ Kho TQ</t>
  </si>
  <si>
    <t>Phí xe nâng hạ hàng quá khổ quá tải lên xe</t>
  </si>
  <si>
    <t>Phí thuê xe nâng hạ hàng hóa quá khổ lên xe</t>
  </si>
  <si>
    <t xml:space="preserve">Xuất nhập khẩu </t>
  </si>
  <si>
    <t>Phí thương kiểm</t>
  </si>
  <si>
    <t>Chi phí để làm thủ tục Kiểm tra chất lượng và kiểm dịch hàng hóa</t>
  </si>
  <si>
    <t>Phí kiểm hóa xuất khẩu</t>
  </si>
  <si>
    <t>Chi phí Hải quan kiểm tra hàng hóa thực tế đầu xuất khẩu</t>
  </si>
  <si>
    <t>Phí khai báo xuất khẩu riêng</t>
  </si>
  <si>
    <t>Phí làm tờ khai xuất khẩu riêng</t>
  </si>
  <si>
    <t>Phí vé bãi hải quan</t>
  </si>
  <si>
    <t>Phí vào bãi hải quan</t>
  </si>
  <si>
    <t>Phí khác (phí hàng hóa hoàn thuế 0%, ...)</t>
  </si>
  <si>
    <t>Hàng hóa hoàn thuế 0% = 700 tệ + 1% giá trị khai báo trên tờ khai</t>
  </si>
  <si>
    <t>Chặng 4</t>
  </si>
  <si>
    <t>Tờ khai nhập khẩu</t>
  </si>
  <si>
    <t>Phí thủ tục thông quan nhập khẩu</t>
  </si>
  <si>
    <t>Chi phí làm thủ tục thông quan nhập khẩu</t>
  </si>
  <si>
    <t>VND</t>
  </si>
  <si>
    <t>Sau khi hạ hàng tại kho VN</t>
  </si>
  <si>
    <t>Thêm tờ khai</t>
  </si>
  <si>
    <t>Chi phí mở tờ khai nhánh</t>
  </si>
  <si>
    <t>Chi phí sang tải</t>
  </si>
  <si>
    <t>Chi phí sang tải từ container TQ sang container VN</t>
  </si>
  <si>
    <t>Xe container VN</t>
  </si>
  <si>
    <t>Chi phí kiểm hoá nhập khẩu</t>
  </si>
  <si>
    <t xml:space="preserve">Chi phí Hải quan kiểm tra hàng hóa thực tế đầu nhập khẩu </t>
  </si>
  <si>
    <t>Phí kho bãi kiểm hoá</t>
  </si>
  <si>
    <t>Chi phí lưu kho lưu bãi kiểm hóa nhập khẩu</t>
  </si>
  <si>
    <t>Cước xe Hữu Nghị - Hà Nội</t>
  </si>
  <si>
    <t>Chi phí thuê xe container VN</t>
  </si>
  <si>
    <t>Cước xe Hữu Nghị - Hà Nội (xe nhà)</t>
  </si>
  <si>
    <t>Chi phí sử dụng xe nhà</t>
  </si>
  <si>
    <t>Vé xe sang bãi TQ</t>
  </si>
  <si>
    <t>Bảo hiểm xe</t>
  </si>
  <si>
    <t>Hàng hóa</t>
  </si>
  <si>
    <t>Chi phí kiểm tra chuyên ngành</t>
  </si>
  <si>
    <t>Chi phí làm thủ tục chuyên ngành nhập khẩu: hợp quy, Phân tích phân loại nhập khẩu, Kiểm tra chất lượng, Xin giấy phép nhập khẩu</t>
  </si>
  <si>
    <t>Mooc cẩu</t>
  </si>
  <si>
    <t>Phí cắt mooc TQ từ KM0 vào bãi Xuân Cương</t>
  </si>
  <si>
    <t>Phí lưu mooc tại bãi Xuân Cương</t>
  </si>
  <si>
    <t>Phí di chuyển mooc trong bãi Xuân Cương</t>
  </si>
  <si>
    <t>Phí nợ CO</t>
  </si>
  <si>
    <t>Phí khác</t>
  </si>
  <si>
    <t>Dịch vụ lưu ca xe VN</t>
  </si>
  <si>
    <t>Phí lưu ca xe VN</t>
  </si>
  <si>
    <t>Phí bao luật vào kho</t>
  </si>
  <si>
    <t>Phí hạ hàng tại kho HN</t>
  </si>
  <si>
    <t>Chặng 5</t>
  </si>
  <si>
    <t>Kho VN</t>
  </si>
  <si>
    <t>Phí đóng gói gia cố hàng hoá</t>
  </si>
  <si>
    <t>Sau khi hoàn thành giao hàng chặng cuối</t>
  </si>
  <si>
    <t>Khai thác hàng hóa bằng xe nâng</t>
  </si>
  <si>
    <t>Phí nâng hàng</t>
  </si>
  <si>
    <t>Bốc xếp hàng hóa</t>
  </si>
  <si>
    <t>Chi phí nhân công</t>
  </si>
  <si>
    <t xml:space="preserve">Kho </t>
  </si>
  <si>
    <t>Lưu kho VN</t>
  </si>
  <si>
    <t>Chi phí thuê kho</t>
  </si>
  <si>
    <t>Cuối mỗi tháng</t>
  </si>
  <si>
    <t>Vận</t>
  </si>
  <si>
    <t>Giao hàng chặng cuối đường bộ</t>
  </si>
  <si>
    <t>Phí cầu đường, bến bãi</t>
  </si>
  <si>
    <t>Phí đổ dầu</t>
  </si>
  <si>
    <t>Phí bảo dưỡng xe</t>
  </si>
  <si>
    <t>Chi phí lái xe</t>
  </si>
  <si>
    <t>Chi phí khấu hao + lãi vay</t>
  </si>
  <si>
    <t>Chi phí thuê xe đối tác</t>
  </si>
  <si>
    <t>Giao hàng chặng cuối đường sắt</t>
  </si>
  <si>
    <t>Chi phí trả đối tác</t>
  </si>
  <si>
    <t>(sau khi ra khỏi kho TQ cho đến khi xe contaner TQ đến bãi việt nam)</t>
  </si>
  <si>
    <t xml:space="preserve">Phân bổ theo? (phân bổ vào đơn theo </t>
  </si>
  <si>
    <t>Xe (theo kg / m3)</t>
  </si>
  <si>
    <t>A Thành</t>
  </si>
  <si>
    <t>Xe 9.6m</t>
  </si>
  <si>
    <t>CNY/ xe</t>
  </si>
  <si>
    <t>Xe 13m</t>
  </si>
  <si>
    <t>Xe 13.7m</t>
  </si>
  <si>
    <t>Xe 17m</t>
  </si>
  <si>
    <t>Xe 20m</t>
  </si>
  <si>
    <t>XK2</t>
  </si>
  <si>
    <t>XK4</t>
  </si>
  <si>
    <t>Xe 9.6m (Có hàng)</t>
  </si>
  <si>
    <t>CNY/ ngày</t>
  </si>
  <si>
    <t>Không hàng: do xe TQ quay đầu từ bãi VN về TQ bị lưu ca</t>
  </si>
  <si>
    <t>Xe 13m (Có hàng)</t>
  </si>
  <si>
    <t>Phí lưu ca = Số ngày lưu ca * đơn giá 
Số ngày lưu ca = Ngày xe TQ về - (Ngày gọi xe + 1)
Ví dụ: Gọi xe ngày 10/2, xe về đến kho TQ ngày 15/2 
=&gt; Số ngày lưu ca = 15 - (10 + 1)</t>
  </si>
  <si>
    <t>Xe 13.7m (Có hàng)</t>
  </si>
  <si>
    <t>Xe 17m (Có hàng)</t>
  </si>
  <si>
    <t>Xe 20m (Có hàng)</t>
  </si>
  <si>
    <t>Xe 9.6m (Không có hàng)</t>
  </si>
  <si>
    <t>Xe 13m (Không có hàng)</t>
  </si>
  <si>
    <t>Xe 13.7m (Không có hàng)</t>
  </si>
  <si>
    <t>Xe 17m (Không có hàng)</t>
  </si>
  <si>
    <t>Xe 20m (Không có hàng)</t>
  </si>
  <si>
    <t>XK3</t>
  </si>
  <si>
    <t>Tính theo người</t>
  </si>
  <si>
    <t>CNY/ người</t>
  </si>
  <si>
    <t>Phí lái hộ = 500 + 100 * số ngày lưu ca TQ</t>
  </si>
  <si>
    <t>Tính theo số ngày lưu ca TQ</t>
  </si>
  <si>
    <t>CNY/ đêm</t>
  </si>
  <si>
    <t>Tính theo xe</t>
  </si>
  <si>
    <t>Phí vào bãi hải quan = 56 + 12 * số tấn</t>
  </si>
  <si>
    <t>Tính theo trọng tải của xe</t>
  </si>
  <si>
    <t>Phí báo quan</t>
  </si>
  <si>
    <t>C Lệ</t>
  </si>
  <si>
    <t>CNY/ tờ khai</t>
  </si>
  <si>
    <t>Phí mở tờ khai riêng</t>
  </si>
  <si>
    <t>Chỉ xuất được hóa đơn 300 tệ</t>
  </si>
  <si>
    <t>Không hoàn thuế</t>
  </si>
  <si>
    <t>Làm CO</t>
  </si>
  <si>
    <t>CNY/ tờ khai (30 mục/ tờ khai)</t>
  </si>
  <si>
    <t>CNY/ bằng</t>
  </si>
  <si>
    <t>Kiểm dịch</t>
  </si>
  <si>
    <t>Phí kiểm dịch</t>
  </si>
  <si>
    <t>Chi phí để làm thủ tục Kiểm tra chất lượng và kiểm dịch hàng hóa gồm Phí kiếm dịch + đứng tên + khai báo</t>
  </si>
  <si>
    <t>Loại 5 mục/ tờ</t>
  </si>
  <si>
    <t>CNY/ tờ</t>
  </si>
  <si>
    <t>Loại trên 5 mục/ tờ</t>
  </si>
  <si>
    <t>3100 + số tờ khai thêm * 2000</t>
  </si>
  <si>
    <t>số tờ khai thêm = số mục/5 (làm tròn lên)</t>
  </si>
  <si>
    <t>Kiểm hóa xuất khẩu</t>
  </si>
  <si>
    <t>Kiểm hóa hạ hàng</t>
  </si>
  <si>
    <t>Kiểm hóa nhanh</t>
  </si>
  <si>
    <t>Dòng tờ khai</t>
  </si>
  <si>
    <t>Phí xuất khẩu hàng hóa hoàn thuế 0% (đối tác không xuất khẩu được, phải thuê 1 bên khác)</t>
  </si>
  <si>
    <t>CNY/ dòng tờ khai</t>
  </si>
  <si>
    <t>700 + 2% * giá trị trước VAT</t>
  </si>
  <si>
    <t>Dịch vụ tầng cuối</t>
  </si>
  <si>
    <t>Chi phí liên quan</t>
  </si>
  <si>
    <t>Định nghĩa chi phí</t>
  </si>
  <si>
    <t>Hữu Nghị</t>
  </si>
  <si>
    <t>Tân Thanh</t>
  </si>
  <si>
    <t>Xe (theo kg / m3)
Phát sinh: theo đơn</t>
  </si>
  <si>
    <t>VND/ tờ khai</t>
  </si>
  <si>
    <t>Phí thủ tục thêm xe</t>
  </si>
  <si>
    <t>Phí làm thủ tục xe VN T2 chung 1 tờ khai HQ</t>
  </si>
  <si>
    <t>VND/ xe</t>
  </si>
  <si>
    <t>Mở tờ khai riêng/ mở tờ khai nhánh</t>
  </si>
  <si>
    <t>Tờ khai dưới 5 mục</t>
  </si>
  <si>
    <t>Tờ khai trên 5 mục</t>
  </si>
  <si>
    <t>VND/ m3</t>
  </si>
  <si>
    <t>VND/ Combo</t>
  </si>
  <si>
    <t>Dưới 19 tấn</t>
  </si>
  <si>
    <t>Trong TH 1 xe sang 2 xe thì x2 chi phí
Chủ yếu theo hóa đơn</t>
  </si>
  <si>
    <t>Trên 19 tấn</t>
  </si>
  <si>
    <t>Kiểm hóa nhập khẩu</t>
  </si>
  <si>
    <t>Kiểm sang tải</t>
  </si>
  <si>
    <t>Kiểm hạ</t>
  </si>
  <si>
    <t>VND/ m2</t>
  </si>
  <si>
    <t>Cước xe cửa khẩu - Hà Nội</t>
  </si>
  <si>
    <t>Huyền Yến</t>
  </si>
  <si>
    <t>Hoàng Dũng</t>
  </si>
  <si>
    <t>Dolphin</t>
  </si>
  <si>
    <t>Xuân Lộc</t>
  </si>
  <si>
    <t>Cước xe cửa khẩu - Hà Nội (xe nhà)</t>
  </si>
  <si>
    <t>Xe rào 9,6m (54 m³)</t>
  </si>
  <si>
    <t>VND/ xe/ ngày</t>
  </si>
  <si>
    <t>T là ngày xe lên cửa khẩu
Tính từ 12h trưa ngày T + 1</t>
  </si>
  <si>
    <t>Xe rào 16,8m (95 m³)</t>
  </si>
  <si>
    <t>Xe fooc 19m (140 m³)</t>
  </si>
  <si>
    <t>Báo riêng</t>
  </si>
  <si>
    <t xml:space="preserve">Vé xe sang bãi </t>
  </si>
  <si>
    <t>Tính từ ngày vào bãi đến ngày ra bãi</t>
  </si>
  <si>
    <t>Vẽ bãi VN</t>
  </si>
  <si>
    <t>Xe cont VN</t>
  </si>
  <si>
    <t>VND/ xe/ đêm</t>
  </si>
  <si>
    <t>Xe cont TQ</t>
  </si>
  <si>
    <t>VND/ đơn</t>
  </si>
  <si>
    <t>Đang xây bảng giá</t>
  </si>
  <si>
    <t>Phí di thuế</t>
  </si>
  <si>
    <t>Phí biên phòng</t>
  </si>
  <si>
    <t>Phí phải trả cho biên phòng</t>
  </si>
  <si>
    <t>VND/ đêm</t>
  </si>
  <si>
    <t>Chi phí bốc fooc</t>
  </si>
  <si>
    <t>Chi phí công nhân san hàng ngoài bãi</t>
  </si>
  <si>
    <t>Gia cố hàng hóa kho VN</t>
  </si>
  <si>
    <t>Phương Đông</t>
  </si>
  <si>
    <t>VND/ kiện</t>
  </si>
  <si>
    <t>Đối với hàng hóa &lt; 3 tấn (D*R*C &lt; 3*3*3) dùng xe nâng/ cẩu
Trên 3 tấn báo giá riêng</t>
  </si>
  <si>
    <t>Tính từ kiện thứ 2</t>
  </si>
  <si>
    <t>Thiên Bảo</t>
  </si>
  <si>
    <t>Xe đầu kéo</t>
  </si>
  <si>
    <t>Xe 3 chân</t>
  </si>
  <si>
    <t>Xe 7 - 10 tấn</t>
  </si>
  <si>
    <t>Xe 5 tấn</t>
  </si>
  <si>
    <t>Xe 2,5 - 3,5 tấn</t>
  </si>
  <si>
    <t>Xe 1,25 - 2 tấn</t>
  </si>
  <si>
    <t>Công nhân</t>
  </si>
  <si>
    <t>VND/ người/ 4 tiếng</t>
  </si>
  <si>
    <t>Xuân Trường</t>
  </si>
  <si>
    <t>Báo theo thực tế</t>
  </si>
  <si>
    <t>ADZ</t>
  </si>
  <si>
    <t>Loại xe</t>
  </si>
  <si>
    <t>&lt;5km</t>
  </si>
  <si>
    <t>5-9km</t>
  </si>
  <si>
    <t>10-14km</t>
  </si>
  <si>
    <t>15-19km</t>
  </si>
  <si>
    <t>20-59km
 (km tiếp theo *)</t>
  </si>
  <si>
    <t>60-100km</t>
  </si>
  <si>
    <t>101-300km</t>
  </si>
  <si>
    <t>&gt;300km</t>
  </si>
  <si>
    <t>1T4</t>
  </si>
  <si>
    <t>2T4</t>
  </si>
  <si>
    <t>2T9</t>
  </si>
  <si>
    <t>3T5</t>
  </si>
  <si>
    <t>5T</t>
  </si>
  <si>
    <t>7T</t>
  </si>
  <si>
    <t>7T5</t>
  </si>
  <si>
    <t>10T</t>
  </si>
  <si>
    <t xml:space="preserve"> </t>
  </si>
  <si>
    <t>Tùy vào từng chuyến</t>
  </si>
  <si>
    <t>VND/ tháng</t>
  </si>
  <si>
    <t>Không cố định</t>
  </si>
  <si>
    <t>VND/ tháng/ người</t>
  </si>
  <si>
    <t>Kế toán phân bổ</t>
  </si>
  <si>
    <t>Bắc Trung Nam</t>
  </si>
  <si>
    <t>Kho HN - nội thành HCM</t>
  </si>
  <si>
    <t>VND/m3</t>
  </si>
  <si>
    <t>(Tối thiểu 300000 VND)</t>
  </si>
  <si>
    <t>VND/kg</t>
  </si>
  <si>
    <t>Tuấn Phương</t>
  </si>
  <si>
    <t>Kho HN - Ga Sóng Thần</t>
  </si>
  <si>
    <t>Đơn</t>
  </si>
  <si>
    <t>Phụ phí giao hàng chặng cuối (đường sắt)</t>
  </si>
  <si>
    <t>Nâng hạ tại ga</t>
  </si>
  <si>
    <t>VND/ lần</t>
  </si>
  <si>
    <t>Giao trong huyện</t>
  </si>
  <si>
    <t>Kích thước (Dài*Rộng*Cao)</t>
  </si>
  <si>
    <t>Số kg</t>
  </si>
  <si>
    <t>Số m3</t>
  </si>
  <si>
    <t>Loại mooc</t>
  </si>
  <si>
    <t>Kg/m3</t>
  </si>
  <si>
    <t>ĐM-Kg</t>
  </si>
  <si>
    <t>ĐM-M3</t>
  </si>
  <si>
    <t>ĐM-Xe</t>
  </si>
  <si>
    <t>Xe (1 cầu)</t>
  </si>
  <si>
    <t>9m6(3 chân)</t>
  </si>
  <si>
    <t>13m( xe đầu kéo)</t>
  </si>
  <si>
    <t>17m</t>
  </si>
  <si>
    <t>21m</t>
  </si>
  <si>
    <t>9.6m</t>
  </si>
  <si>
    <t>9.6*2.3*2.9</t>
  </si>
  <si>
    <t>Mooc sàn</t>
  </si>
  <si>
    <t>Cước VC</t>
  </si>
  <si>
    <t>13m</t>
  </si>
  <si>
    <t>13*2.6*2.9</t>
  </si>
  <si>
    <t>Cước để tính vat</t>
  </si>
  <si>
    <t>13.7m</t>
  </si>
  <si>
    <t>13.7*3*3</t>
  </si>
  <si>
    <t>Mooc cổ cò</t>
  </si>
  <si>
    <t>Vat</t>
  </si>
  <si>
    <t>17m5</t>
  </si>
  <si>
    <t>17,5*3*3.3</t>
  </si>
  <si>
    <t>18m6</t>
  </si>
  <si>
    <t>18,6*3*3.3</t>
  </si>
  <si>
    <t>Phí khai báo qua anh Thành</t>
  </si>
  <si>
    <t>Loại xe (met)</t>
  </si>
  <si>
    <t>Trọng lượng tải</t>
  </si>
  <si>
    <t>Khối lượng tải</t>
  </si>
  <si>
    <t>kính thức thùng</t>
  </si>
  <si>
    <t>cước xe/xe</t>
  </si>
  <si>
    <t>Phí lưu xe /xe/ngày(Có hàng)</t>
  </si>
  <si>
    <t>Phí lưu xe /xe/ngày(Không hàng)</t>
  </si>
  <si>
    <t>Phí bốc xếp (Bao, thùng, cartons,..)</t>
  </si>
  <si>
    <t>Phí qua bãi (12 CNY/ Tấn)</t>
  </si>
  <si>
    <t>Phí cân xe ( Tệ/Xe)</t>
  </si>
  <si>
    <t>Lưu bãi TQ</t>
  </si>
  <si>
    <t>CO
 (trên 30 mực thì them
 50 tê/30 mực )</t>
  </si>
  <si>
    <t>Phí dán tem (Dán ngoài thùng )</t>
  </si>
  <si>
    <t>Phí tờ khai nhánh 20 mục/ tờ khai nhánh</t>
  </si>
  <si>
    <t>20 Tấn</t>
  </si>
  <si>
    <t>9.6*2.3*2.5</t>
  </si>
  <si>
    <t>12 CNY/ Tấn</t>
  </si>
  <si>
    <t>32 Tấn</t>
  </si>
  <si>
    <t>13*2.35*2.5</t>
  </si>
  <si>
    <t>13.7*3*2.5</t>
  </si>
  <si>
    <t>42 Tấn</t>
  </si>
  <si>
    <t>17*2.35*2.5</t>
  </si>
  <si>
    <t>45 Tấn</t>
  </si>
  <si>
    <t>21*2.35*2.5</t>
  </si>
  <si>
    <t>Khai báo xuất khẩu riêng 500 CNY/ tờ khai</t>
  </si>
  <si>
    <t>Khai báo hoàn thuế không phát sinh thêm</t>
  </si>
  <si>
    <t>Chi phí khai báo tờ khai hàng tạp 7000 CNY/ tháng</t>
  </si>
  <si>
    <t>Phí khai báo qua Lehui</t>
  </si>
  <si>
    <t>Phí bốc xếp (Bao, thùng, cartons,..)
10 CNY/ m3</t>
  </si>
  <si>
    <t>40 Tấn</t>
  </si>
  <si>
    <t>Phí khai báo xuất khẩu riêng 600 CNY /Tờ khai</t>
  </si>
  <si>
    <t>Phí khai báo bảng kê tờ khai hoàn thuế xuất khẩu 100CNY/ tờ khai</t>
  </si>
  <si>
    <t>Phí khai báo qua Tongxing</t>
  </si>
  <si>
    <t xml:space="preserve">CO
</t>
  </si>
  <si>
    <t>Phí khai báo xuất khẩu riêng ... CNY /Tờ khai</t>
  </si>
  <si>
    <t xml:space="preserve">Phí khai báo bảng kê tờ khai hoàn thuế xuất khẩu = không hoàn thuế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</si>
</sst>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d\.m"/>
  </numFmts>
  <fonts count="17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trike/>
      <sz val="10"/>
      <color theme="1"/>
      <name val="Arial"/>
      <charset val="134"/>
      <scheme val="minor"/>
    </font>
    <font>
      <strike/>
      <sz val="10"/>
      <color rgb="FF000000"/>
      <name val="Arial"/>
      <charset val="134"/>
      <scheme val="minor"/>
    </font>
    <font>
      <sz val="11"/>
      <color rgb="FF000000"/>
      <name val="Times New Roman"/>
      <charset val="134"/>
    </font>
    <font>
      <sz val="10"/>
      <color rgb="FF000000"/>
      <name val="Arial"/>
      <charset val="134"/>
    </font>
    <font>
      <b/>
      <sz val="12"/>
      <color rgb="FFFF0000"/>
      <name val="Times New Roman"/>
      <charset val="134"/>
    </font>
    <font>
      <sz val="12"/>
      <color rgb="FFFF0000"/>
      <name val="Times New Roman"/>
      <charset val="134"/>
    </font>
  </fonts>
  <fills count="6">
    <fill>
      <patternFill patternType="none"/>
    </fill>
    <fill>
      <patternFill patternType="gray125"/>
    </fill>
    <fill>
      <patternFill patternType="solid">
        <fgColor rgb="FF8DB4E2"/>
        <bgColor rgb="FF8DB4E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0" borderId="0" xfId="0" applyFont="1"/>
    <xf numFmtId="0" fontId="5" fillId="2" borderId="2" xfId="0" applyFont="1" applyFill="1" applyBorder="1" applyAlignment="1">
      <alignment horizontal="center" wrapText="1"/>
    </xf>
    <xf numFmtId="168" fontId="3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 wrapText="1"/>
    </xf>
    <xf numFmtId="3" fontId="1" fillId="3" borderId="1" xfId="0" applyNumberFormat="1" applyFont="1" applyFill="1" applyBorder="1" applyAlignment="1">
      <alignment horizontal="right"/>
    </xf>
    <xf numFmtId="3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/>
    </xf>
    <xf numFmtId="3" fontId="3" fillId="0" borderId="2" xfId="0" applyNumberFormat="1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3" fontId="4" fillId="0" borderId="1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6" fillId="0" borderId="4" xfId="0" applyFont="1" applyBorder="1"/>
    <xf numFmtId="0" fontId="1" fillId="0" borderId="3" xfId="0" applyFont="1" applyBorder="1"/>
    <xf numFmtId="0" fontId="6" fillId="0" borderId="2" xfId="0" applyFont="1" applyBorder="1"/>
    <xf numFmtId="3" fontId="5" fillId="0" borderId="2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3" fontId="8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6" fillId="0" borderId="2" xfId="0" applyNumberFormat="1" applyFont="1" applyBorder="1" applyAlignment="1">
      <alignment horizontal="right"/>
    </xf>
    <xf numFmtId="3" fontId="1" fillId="0" borderId="2" xfId="0" applyNumberFormat="1" applyFont="1" applyBorder="1"/>
    <xf numFmtId="0" fontId="5" fillId="2" borderId="3" xfId="0" applyFont="1" applyFill="1" applyBorder="1" applyAlignment="1">
      <alignment horizontal="center" vertical="top" wrapText="1"/>
    </xf>
    <xf numFmtId="3" fontId="5" fillId="0" borderId="2" xfId="0" applyNumberFormat="1" applyFont="1" applyBorder="1" applyAlignment="1">
      <alignment horizontal="center"/>
    </xf>
    <xf numFmtId="0" fontId="1" fillId="0" borderId="2" xfId="0" applyFont="1" applyBorder="1"/>
    <xf numFmtId="3" fontId="1" fillId="0" borderId="0" xfId="0" applyNumberFormat="1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0" fillId="0" borderId="0" xfId="0" applyFont="1"/>
    <xf numFmtId="3" fontId="9" fillId="0" borderId="0" xfId="0" applyNumberFormat="1" applyFont="1" applyAlignment="1">
      <alignment wrapText="1"/>
    </xf>
    <xf numFmtId="3" fontId="10" fillId="0" borderId="0" xfId="0" applyNumberFormat="1" applyFont="1" applyAlignment="1">
      <alignment wrapText="1"/>
    </xf>
    <xf numFmtId="0" fontId="2" fillId="3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3" fontId="10" fillId="0" borderId="0" xfId="0" applyNumberFormat="1" applyFont="1"/>
    <xf numFmtId="3" fontId="3" fillId="3" borderId="0" xfId="0" applyNumberFormat="1" applyFont="1" applyFill="1" applyAlignment="1">
      <alignment horizontal="right"/>
    </xf>
    <xf numFmtId="0" fontId="10" fillId="3" borderId="0" xfId="0" applyFont="1" applyFill="1" applyAlignment="1">
      <alignment wrapText="1"/>
    </xf>
    <xf numFmtId="3" fontId="4" fillId="3" borderId="0" xfId="0" applyNumberFormat="1" applyFont="1" applyFill="1" applyAlignment="1">
      <alignment horizontal="center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0" fillId="0" borderId="0" xfId="0" applyFont="1" applyAlignment="1">
      <alignment horizontal="right" wrapText="1"/>
    </xf>
    <xf numFmtId="0" fontId="9" fillId="0" borderId="0" xfId="0" applyFont="1" applyAlignment="1">
      <alignment horizontal="right" wrapText="1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 wrapText="1"/>
    </xf>
    <xf numFmtId="0" fontId="11" fillId="0" borderId="0" xfId="0" applyFont="1" applyAlignment="1">
      <alignment horizontal="right"/>
    </xf>
    <xf numFmtId="0" fontId="0" fillId="3" borderId="0" xfId="0" applyFill="1" applyAlignment="1">
      <alignment wrapText="1"/>
    </xf>
    <xf numFmtId="0" fontId="11" fillId="0" borderId="0" xfId="0" applyFont="1"/>
    <xf numFmtId="0" fontId="12" fillId="3" borderId="0" xfId="0" applyFont="1" applyFill="1" applyAlignment="1">
      <alignment wrapText="1"/>
    </xf>
    <xf numFmtId="3" fontId="11" fillId="0" borderId="0" xfId="0" applyNumberFormat="1" applyFont="1" applyAlignment="1">
      <alignment wrapText="1"/>
    </xf>
    <xf numFmtId="3" fontId="10" fillId="3" borderId="0" xfId="0" applyNumberFormat="1" applyFont="1" applyFill="1" applyAlignment="1">
      <alignment horizontal="left"/>
    </xf>
    <xf numFmtId="0" fontId="1" fillId="3" borderId="0" xfId="0" applyFont="1" applyFill="1"/>
    <xf numFmtId="0" fontId="8" fillId="0" borderId="0" xfId="0" applyFont="1"/>
    <xf numFmtId="0" fontId="8" fillId="3" borderId="0" xfId="0" applyFont="1" applyFill="1"/>
    <xf numFmtId="0" fontId="2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3" borderId="0" xfId="0" applyFont="1" applyFill="1"/>
    <xf numFmtId="0" fontId="3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168" fontId="1" fillId="0" borderId="0" xfId="0" applyNumberFormat="1" applyFont="1"/>
    <xf numFmtId="3" fontId="10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4" fillId="3" borderId="0" xfId="0" applyFont="1" applyFill="1" applyAlignment="1">
      <alignment horizontal="right"/>
    </xf>
    <xf numFmtId="0" fontId="14" fillId="3" borderId="0" xfId="0" applyFont="1" applyFill="1" applyAlignment="1">
      <alignment wrapText="1"/>
    </xf>
    <xf numFmtId="0" fontId="14" fillId="3" borderId="0" xfId="0" applyFont="1" applyFill="1"/>
    <xf numFmtId="0" fontId="1" fillId="0" borderId="0" xfId="0" applyFont="1" applyAlignment="1">
      <alignment horizontal="right" wrapText="1"/>
    </xf>
    <xf numFmtId="3" fontId="5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/>
    </xf>
    <xf numFmtId="3" fontId="4" fillId="3" borderId="0" xfId="0" applyNumberFormat="1" applyFont="1" applyFill="1" applyAlignment="1">
      <alignment horizontal="right"/>
    </xf>
    <xf numFmtId="3" fontId="1" fillId="3" borderId="0" xfId="0" applyNumberFormat="1" applyFont="1" applyFill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horizontal="right"/>
    </xf>
    <xf numFmtId="3" fontId="3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10" fillId="3" borderId="0" xfId="0" applyFont="1" applyFill="1" applyAlignment="1">
      <alignment horizontal="right"/>
    </xf>
    <xf numFmtId="0" fontId="9" fillId="0" borderId="0" xfId="0" applyFont="1" applyAlignment="1">
      <alignment horizontal="left"/>
    </xf>
    <xf numFmtId="0" fontId="9" fillId="3" borderId="0" xfId="0" applyFont="1" applyFill="1" applyAlignment="1">
      <alignment wrapText="1"/>
    </xf>
    <xf numFmtId="3" fontId="1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10" fillId="5" borderId="0" xfId="0" applyFont="1" applyFill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5" fillId="3" borderId="0" xfId="0" applyFont="1" applyFill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9" fontId="16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center" wrapText="1"/>
    </xf>
    <xf numFmtId="9" fontId="3" fillId="0" borderId="1" xfId="0" applyNumberFormat="1" applyFont="1" applyBorder="1" applyAlignment="1">
      <alignment horizontal="right" wrapText="1"/>
    </xf>
    <xf numFmtId="0" fontId="1" fillId="3" borderId="0" xfId="0" applyFont="1" applyFill="1" applyAlignment="1">
      <alignment horizontal="center"/>
    </xf>
    <xf numFmtId="0" fontId="0" fillId="0" borderId="0" xfId="0"/>
    <xf numFmtId="0" fontId="10" fillId="3" borderId="0" xfId="0" applyFont="1" applyFill="1" applyAlignment="1">
      <alignment horizontal="center" wrapText="1"/>
    </xf>
  </cellXfs>
  <cellStyles count="1">
    <cellStyle name="Normal" xfId="0" builtinId="0"/>
  </cellStyles>
  <dxfs count="1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Bảng kê chi phí chặng 3-style" pivot="0" count="2" xr9:uid="{8C301177-8A6E-DCBD-C4F7-F76922D0C576}">
      <tableStyleElement type="firstRowStripe" dxfId="9"/>
      <tableStyleElement type="secondRowStripe" dxfId="8"/>
    </tableStyle>
    <tableStyle name="Bảng kê chi phí chặng 3-style 2" pivot="0" count="2" xr9:uid="{8D591F30-3B48-09AE-C4F7-F76944B6A344}">
      <tableStyleElement type="firstRowStripe" dxfId="7"/>
      <tableStyleElement type="secondRowStripe" dxfId="6"/>
    </tableStyle>
    <tableStyle name="Bảng kê chi phí chặng 3-style 3" pivot="0" count="2" xr9:uid="{50A6CCF8-D4FE-481E-C4F7-F769883BC91C}">
      <tableStyleElement type="firstRowStripe" dxfId="5"/>
      <tableStyleElement type="secondRowStripe" dxfId="4"/>
    </tableStyle>
    <tableStyle name="Bảng kê chi phí chặng 3-style 4" pivot="0" count="2" xr9:uid="{45A64780-2C17-0147-C4F7-F76949ABDD37}">
      <tableStyleElement type="firstRowStripe" dxfId="3"/>
      <tableStyleElement type="secondRowStripe" dxfId="2"/>
    </tableStyle>
    <tableStyle name="Bảng kê chi phí chặng 3-style 5" pivot="0" count="2" xr9:uid="{9C5DDE2F-9A3C-500C-C4F7-F7693BF65BAF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workbookViewId="0"/>
  </sheetViews>
  <sheetFormatPr defaultColWidth="12.59765625" defaultRowHeight="15.75" customHeight="1"/>
  <cols>
    <col min="3" max="3" width="45.86328125" customWidth="1"/>
    <col min="4" max="4" width="37.59765625" customWidth="1"/>
    <col min="5" max="5" width="39.1328125" customWidth="1"/>
    <col min="7" max="7" width="34.265625" customWidth="1"/>
    <col min="8" max="8" width="29.265625" customWidth="1"/>
    <col min="9" max="9" width="31.3984375" customWidth="1"/>
  </cols>
  <sheetData>
    <row r="1" spans="1:10" ht="15.75" customHeight="1">
      <c r="A1" s="43" t="s">
        <v>0</v>
      </c>
      <c r="B1" s="43"/>
      <c r="C1" s="43"/>
      <c r="D1" s="43"/>
      <c r="E1" s="43"/>
      <c r="F1" s="43" t="s">
        <v>1</v>
      </c>
      <c r="G1" s="43"/>
    </row>
    <row r="2" spans="1:10" ht="15.75" customHeight="1">
      <c r="A2" s="43" t="s">
        <v>2</v>
      </c>
      <c r="B2" s="43"/>
      <c r="C2" s="43"/>
      <c r="D2" s="43"/>
      <c r="E2" s="43"/>
      <c r="F2" s="112" t="s">
        <v>3</v>
      </c>
      <c r="G2" s="112" t="s">
        <v>4</v>
      </c>
      <c r="H2" s="112" t="s">
        <v>5</v>
      </c>
      <c r="I2" s="120" t="s">
        <v>6</v>
      </c>
      <c r="J2" s="121" t="s">
        <v>7</v>
      </c>
    </row>
    <row r="3" spans="1:10" ht="15.75" customHeight="1">
      <c r="A3" s="43"/>
      <c r="B3" s="43" t="s">
        <v>0</v>
      </c>
      <c r="C3" s="43" t="s">
        <v>8</v>
      </c>
      <c r="D3" s="43" t="s">
        <v>9</v>
      </c>
      <c r="E3" s="43" t="s">
        <v>10</v>
      </c>
      <c r="F3" s="113">
        <v>1</v>
      </c>
      <c r="G3" s="114" t="s">
        <v>11</v>
      </c>
      <c r="H3" s="115" t="s">
        <v>12</v>
      </c>
      <c r="I3" s="122">
        <v>0.04</v>
      </c>
      <c r="J3" s="114" t="s">
        <v>13</v>
      </c>
    </row>
    <row r="4" spans="1:10" ht="15.75" customHeight="1">
      <c r="A4" s="43"/>
      <c r="B4" s="43" t="s">
        <v>14</v>
      </c>
      <c r="D4" s="43" t="s">
        <v>15</v>
      </c>
      <c r="E4" s="43" t="s">
        <v>16</v>
      </c>
      <c r="F4" s="43"/>
      <c r="G4" s="43"/>
    </row>
    <row r="5" spans="1:10" ht="15.75" customHeight="1">
      <c r="A5" s="43"/>
      <c r="B5" s="43" t="s">
        <v>17</v>
      </c>
      <c r="C5" s="43" t="s">
        <v>18</v>
      </c>
      <c r="D5" s="43" t="s">
        <v>19</v>
      </c>
      <c r="E5" s="43" t="s">
        <v>19</v>
      </c>
      <c r="F5" s="43"/>
      <c r="G5" s="43"/>
    </row>
    <row r="6" spans="1:10" ht="15.75" customHeight="1">
      <c r="A6" s="43"/>
      <c r="B6" s="43" t="s">
        <v>20</v>
      </c>
      <c r="C6" s="43" t="s">
        <v>21</v>
      </c>
      <c r="D6" s="43" t="s">
        <v>21</v>
      </c>
      <c r="E6" s="43"/>
      <c r="F6" s="43"/>
      <c r="G6" s="43"/>
    </row>
    <row r="7" spans="1:10" ht="15.75" customHeight="1">
      <c r="A7" s="43"/>
      <c r="B7" s="43" t="s">
        <v>22</v>
      </c>
      <c r="C7" s="43" t="s">
        <v>21</v>
      </c>
      <c r="D7" s="43" t="s">
        <v>21</v>
      </c>
      <c r="E7" s="43" t="s">
        <v>21</v>
      </c>
      <c r="F7" s="43"/>
      <c r="G7" s="43"/>
    </row>
    <row r="8" spans="1:10" ht="15.75" customHeight="1">
      <c r="A8" s="43"/>
      <c r="B8" s="43"/>
      <c r="C8" s="43"/>
      <c r="D8" s="43"/>
      <c r="E8" s="43"/>
      <c r="F8" s="43"/>
      <c r="G8" s="43"/>
    </row>
    <row r="9" spans="1:10" ht="15.75" customHeight="1">
      <c r="A9" s="43" t="s">
        <v>23</v>
      </c>
      <c r="B9" s="43"/>
      <c r="C9" s="43"/>
      <c r="D9" s="43"/>
      <c r="E9" s="43"/>
      <c r="F9" s="116" t="s">
        <v>3</v>
      </c>
      <c r="G9" s="116" t="s">
        <v>4</v>
      </c>
      <c r="H9" s="116" t="s">
        <v>5</v>
      </c>
      <c r="I9" s="123" t="s">
        <v>6</v>
      </c>
    </row>
    <row r="10" spans="1:10" ht="15.75" customHeight="1">
      <c r="A10" s="43"/>
      <c r="B10" s="43" t="s">
        <v>0</v>
      </c>
      <c r="C10" s="43" t="s">
        <v>24</v>
      </c>
      <c r="D10" s="43" t="s">
        <v>25</v>
      </c>
      <c r="E10" s="43" t="s">
        <v>26</v>
      </c>
      <c r="F10" s="117">
        <v>1</v>
      </c>
      <c r="G10" s="118" t="s">
        <v>27</v>
      </c>
      <c r="H10" s="119" t="s">
        <v>12</v>
      </c>
      <c r="I10" s="124">
        <v>0.02</v>
      </c>
    </row>
    <row r="11" spans="1:10" ht="15.75" customHeight="1">
      <c r="A11" s="43"/>
      <c r="B11" s="43" t="s">
        <v>14</v>
      </c>
      <c r="C11" s="43" t="s">
        <v>28</v>
      </c>
      <c r="D11" s="43" t="s">
        <v>29</v>
      </c>
      <c r="E11" s="43" t="s">
        <v>30</v>
      </c>
      <c r="F11" s="117">
        <v>2</v>
      </c>
      <c r="G11" s="118" t="s">
        <v>31</v>
      </c>
      <c r="H11" s="119" t="s">
        <v>12</v>
      </c>
      <c r="I11" s="124">
        <v>0.03</v>
      </c>
    </row>
    <row r="12" spans="1:10" ht="15.75" customHeight="1">
      <c r="A12" s="43"/>
      <c r="B12" s="43" t="s">
        <v>17</v>
      </c>
      <c r="C12" s="43" t="s">
        <v>19</v>
      </c>
      <c r="D12" s="43" t="s">
        <v>32</v>
      </c>
      <c r="E12" s="43" t="s">
        <v>33</v>
      </c>
      <c r="F12" s="117">
        <v>3</v>
      </c>
      <c r="G12" s="118" t="s">
        <v>34</v>
      </c>
      <c r="H12" s="119" t="s">
        <v>12</v>
      </c>
      <c r="I12" s="124">
        <v>0.03</v>
      </c>
    </row>
    <row r="13" spans="1:10" ht="15.75" customHeight="1">
      <c r="A13" s="43"/>
      <c r="B13" s="43"/>
      <c r="C13" s="43"/>
      <c r="D13" s="43"/>
      <c r="E13" s="43"/>
      <c r="F13" s="43"/>
      <c r="G13" s="43"/>
    </row>
    <row r="14" spans="1:10" ht="15.75" customHeight="1">
      <c r="A14" s="43" t="s">
        <v>35</v>
      </c>
      <c r="B14" s="43"/>
      <c r="C14" s="43"/>
      <c r="D14" s="43"/>
      <c r="E14" s="43"/>
      <c r="F14" s="43"/>
      <c r="G14" s="43"/>
    </row>
    <row r="15" spans="1:10" ht="15.75" customHeight="1">
      <c r="A15" s="43"/>
      <c r="B15" s="43" t="s">
        <v>0</v>
      </c>
      <c r="C15" s="43" t="s">
        <v>36</v>
      </c>
      <c r="D15" s="43" t="s">
        <v>37</v>
      </c>
      <c r="E15" s="43" t="s">
        <v>38</v>
      </c>
      <c r="F15" s="43"/>
      <c r="G15" s="43"/>
    </row>
    <row r="16" spans="1:10" ht="15.75" customHeight="1">
      <c r="A16" s="43"/>
      <c r="B16" s="43" t="s">
        <v>14</v>
      </c>
      <c r="C16" s="43" t="s">
        <v>39</v>
      </c>
      <c r="D16" s="43" t="s">
        <v>40</v>
      </c>
      <c r="E16" s="43" t="s">
        <v>41</v>
      </c>
      <c r="F16" s="43"/>
      <c r="G16" s="43"/>
    </row>
    <row r="17" spans="1:7" ht="15.75" customHeight="1">
      <c r="A17" s="43"/>
      <c r="B17" s="43" t="s">
        <v>17</v>
      </c>
      <c r="C17" s="43" t="s">
        <v>42</v>
      </c>
      <c r="D17" s="43" t="s">
        <v>19</v>
      </c>
      <c r="E17" s="43" t="s">
        <v>19</v>
      </c>
      <c r="F17" s="43"/>
      <c r="G17" s="43"/>
    </row>
    <row r="18" spans="1:7" ht="15.75" customHeight="1">
      <c r="A18" s="43"/>
      <c r="B18" s="43"/>
      <c r="C18" s="43"/>
      <c r="D18" s="43"/>
      <c r="E18" s="43"/>
      <c r="F18" s="43"/>
      <c r="G18" s="43"/>
    </row>
    <row r="19" spans="1:7" ht="15.75" customHeight="1">
      <c r="A19" s="43"/>
      <c r="B19" s="43"/>
      <c r="C19" s="43"/>
      <c r="D19" s="43"/>
      <c r="E19" s="43"/>
      <c r="F19" s="43"/>
      <c r="G19" s="43"/>
    </row>
    <row r="20" spans="1:7" ht="15.75" customHeight="1">
      <c r="A20" s="43"/>
      <c r="B20" s="43"/>
      <c r="C20" s="43"/>
      <c r="D20" s="43"/>
      <c r="E20" s="43"/>
      <c r="F20" s="43"/>
      <c r="G20" s="43"/>
    </row>
    <row r="21" spans="1:7" ht="15.75" customHeight="1">
      <c r="A21" s="43"/>
      <c r="B21" s="43"/>
      <c r="C21" s="43"/>
      <c r="D21" s="43"/>
      <c r="E21" s="43"/>
      <c r="F21" s="43"/>
      <c r="G21" s="43"/>
    </row>
    <row r="22" spans="1:7" ht="15.75" customHeight="1">
      <c r="A22" s="43"/>
      <c r="B22" s="43"/>
      <c r="C22" s="43"/>
      <c r="D22" s="43"/>
      <c r="E22" s="43"/>
      <c r="F22" s="43"/>
      <c r="G22" s="43"/>
    </row>
    <row r="23" spans="1:7" ht="15.75" customHeight="1">
      <c r="A23" s="43"/>
      <c r="B23" s="43"/>
      <c r="C23" s="43"/>
      <c r="D23" s="43"/>
      <c r="E23" s="43"/>
      <c r="F23" s="43"/>
      <c r="G23" s="43"/>
    </row>
    <row r="24" spans="1:7" ht="15.75" customHeight="1">
      <c r="A24" s="43"/>
      <c r="B24" s="43"/>
      <c r="C24" s="43"/>
      <c r="D24" s="43"/>
      <c r="E24" s="43"/>
      <c r="F24" s="43"/>
      <c r="G24" s="43"/>
    </row>
    <row r="25" spans="1:7" ht="15.75" customHeight="1">
      <c r="A25" s="43"/>
      <c r="B25" s="43"/>
      <c r="C25" s="43"/>
      <c r="D25" s="43"/>
      <c r="E25" s="43"/>
      <c r="F25" s="43"/>
      <c r="G25" s="43"/>
    </row>
    <row r="26" spans="1:7" ht="15.75" customHeight="1">
      <c r="A26" s="43"/>
      <c r="B26" s="43"/>
      <c r="C26" s="43"/>
      <c r="D26" s="43"/>
      <c r="E26" s="43"/>
      <c r="F26" s="43"/>
      <c r="G26" s="43"/>
    </row>
    <row r="27" spans="1:7" ht="15.75" customHeight="1">
      <c r="A27" s="43"/>
      <c r="B27" s="43"/>
      <c r="C27" s="43"/>
      <c r="D27" s="43"/>
      <c r="E27" s="43"/>
      <c r="F27" s="43"/>
      <c r="G27" s="43"/>
    </row>
    <row r="28" spans="1:7" ht="15.75" customHeight="1">
      <c r="A28" s="43"/>
      <c r="B28" s="43"/>
      <c r="C28" s="43"/>
      <c r="D28" s="43"/>
      <c r="E28" s="43"/>
      <c r="F28" s="43"/>
      <c r="G28" s="43"/>
    </row>
    <row r="29" spans="1:7" ht="15.75" customHeight="1">
      <c r="A29" s="43"/>
      <c r="B29" s="43"/>
      <c r="C29" s="43"/>
      <c r="D29" s="43"/>
      <c r="E29" s="43"/>
      <c r="F29" s="43"/>
      <c r="G29" s="43"/>
    </row>
    <row r="30" spans="1:7" ht="15.75" customHeight="1">
      <c r="A30" s="43"/>
      <c r="B30" s="43"/>
      <c r="C30" s="43"/>
      <c r="D30" s="43"/>
      <c r="E30" s="43"/>
      <c r="F30" s="43"/>
      <c r="G30" s="43"/>
    </row>
    <row r="31" spans="1:7" ht="15.75" customHeight="1">
      <c r="A31" s="43"/>
      <c r="B31" s="43"/>
      <c r="C31" s="43"/>
      <c r="D31" s="43"/>
      <c r="E31" s="43"/>
      <c r="F31" s="43"/>
      <c r="G31" s="43"/>
    </row>
    <row r="32" spans="1:7" ht="15.75" customHeight="1">
      <c r="A32" s="43"/>
      <c r="B32" s="43"/>
      <c r="C32" s="43"/>
      <c r="D32" s="43"/>
      <c r="E32" s="43"/>
      <c r="F32" s="43"/>
      <c r="G32" s="43"/>
    </row>
    <row r="33" spans="1:7" ht="15.75" customHeight="1">
      <c r="A33" s="43"/>
      <c r="B33" s="43"/>
      <c r="C33" s="43"/>
      <c r="D33" s="43"/>
      <c r="E33" s="43"/>
      <c r="F33" s="43"/>
      <c r="G33" s="43"/>
    </row>
    <row r="34" spans="1:7" ht="15.75" customHeight="1">
      <c r="A34" s="43"/>
      <c r="B34" s="43"/>
      <c r="C34" s="43"/>
      <c r="D34" s="43"/>
      <c r="E34" s="43"/>
      <c r="F34" s="43"/>
      <c r="G34" s="43"/>
    </row>
    <row r="35" spans="1:7" ht="15.75" customHeight="1">
      <c r="A35" s="43"/>
      <c r="B35" s="43"/>
      <c r="C35" s="43"/>
      <c r="D35" s="43"/>
      <c r="E35" s="43"/>
      <c r="F35" s="43"/>
      <c r="G35" s="43"/>
    </row>
    <row r="36" spans="1:7" ht="15.75" customHeight="1">
      <c r="A36" s="43"/>
      <c r="B36" s="43"/>
      <c r="C36" s="43"/>
      <c r="D36" s="43"/>
      <c r="E36" s="43"/>
      <c r="F36" s="43"/>
      <c r="G36" s="43"/>
    </row>
    <row r="37" spans="1:7" ht="15.75" customHeight="1">
      <c r="A37" s="43"/>
      <c r="B37" s="43"/>
      <c r="C37" s="43"/>
      <c r="D37" s="43"/>
      <c r="E37" s="43"/>
      <c r="F37" s="43"/>
      <c r="G37" s="43"/>
    </row>
    <row r="38" spans="1:7" ht="15.75" customHeight="1">
      <c r="A38" s="43"/>
      <c r="B38" s="43"/>
      <c r="C38" s="43"/>
      <c r="D38" s="43"/>
      <c r="E38" s="43"/>
      <c r="F38" s="43"/>
      <c r="G38" s="43"/>
    </row>
    <row r="39" spans="1:7" ht="15.75" customHeight="1">
      <c r="A39" s="43"/>
      <c r="B39" s="43"/>
      <c r="C39" s="43"/>
      <c r="D39" s="43"/>
      <c r="E39" s="43"/>
      <c r="F39" s="43"/>
      <c r="G39" s="43"/>
    </row>
    <row r="40" spans="1:7" ht="15.75" customHeight="1">
      <c r="A40" s="43"/>
      <c r="B40" s="43"/>
      <c r="C40" s="43"/>
      <c r="D40" s="43"/>
      <c r="E40" s="43"/>
      <c r="F40" s="43"/>
      <c r="G40" s="43"/>
    </row>
    <row r="41" spans="1:7" ht="15.75" customHeight="1">
      <c r="A41" s="43"/>
      <c r="B41" s="43"/>
      <c r="C41" s="43"/>
      <c r="D41" s="43"/>
      <c r="E41" s="43"/>
      <c r="F41" s="43"/>
      <c r="G41" s="43"/>
    </row>
    <row r="42" spans="1:7" ht="15.75" customHeight="1">
      <c r="A42" s="43"/>
      <c r="B42" s="43"/>
      <c r="C42" s="43"/>
      <c r="D42" s="43"/>
      <c r="E42" s="43"/>
      <c r="F42" s="43"/>
      <c r="G42" s="43"/>
    </row>
    <row r="43" spans="1:7" ht="15.75" customHeight="1">
      <c r="A43" s="43"/>
      <c r="B43" s="43"/>
      <c r="C43" s="43"/>
      <c r="D43" s="43"/>
      <c r="E43" s="43"/>
      <c r="F43" s="43"/>
      <c r="G43" s="43"/>
    </row>
    <row r="44" spans="1:7" ht="15.75" customHeight="1">
      <c r="A44" s="43"/>
      <c r="B44" s="43"/>
      <c r="C44" s="43"/>
      <c r="D44" s="43"/>
      <c r="E44" s="43"/>
      <c r="F44" s="43"/>
      <c r="G44" s="43"/>
    </row>
    <row r="45" spans="1:7" ht="15.75" customHeight="1">
      <c r="A45" s="43"/>
      <c r="B45" s="43"/>
      <c r="C45" s="43"/>
      <c r="D45" s="43"/>
      <c r="E45" s="43"/>
      <c r="F45" s="43"/>
      <c r="G45" s="43"/>
    </row>
    <row r="46" spans="1:7" ht="15.75" customHeight="1">
      <c r="A46" s="43"/>
      <c r="B46" s="43"/>
      <c r="C46" s="43"/>
      <c r="D46" s="43"/>
      <c r="E46" s="43"/>
      <c r="F46" s="43"/>
      <c r="G46" s="43"/>
    </row>
    <row r="47" spans="1:7" ht="15.75" customHeight="1">
      <c r="A47" s="43"/>
      <c r="B47" s="43"/>
      <c r="C47" s="43"/>
      <c r="D47" s="43"/>
      <c r="E47" s="43"/>
      <c r="F47" s="43"/>
      <c r="G47" s="43"/>
    </row>
    <row r="48" spans="1:7" ht="15.75" customHeight="1">
      <c r="A48" s="43"/>
      <c r="B48" s="43"/>
      <c r="C48" s="43"/>
      <c r="D48" s="43"/>
      <c r="E48" s="43"/>
      <c r="F48" s="43"/>
      <c r="G48" s="43"/>
    </row>
    <row r="49" spans="1:7" ht="15.75" customHeight="1">
      <c r="A49" s="43"/>
      <c r="B49" s="43"/>
      <c r="C49" s="43"/>
      <c r="D49" s="43"/>
      <c r="E49" s="43"/>
      <c r="F49" s="43"/>
      <c r="G49" s="43"/>
    </row>
    <row r="50" spans="1:7" ht="15.75" customHeight="1">
      <c r="A50" s="43"/>
      <c r="B50" s="43"/>
      <c r="C50" s="43"/>
      <c r="D50" s="43"/>
      <c r="E50" s="43"/>
      <c r="F50" s="43"/>
      <c r="G50" s="43"/>
    </row>
    <row r="51" spans="1:7" ht="15.75" customHeight="1">
      <c r="A51" s="43"/>
      <c r="B51" s="43"/>
      <c r="C51" s="43"/>
      <c r="D51" s="43"/>
      <c r="E51" s="43"/>
      <c r="F51" s="43"/>
      <c r="G51" s="43"/>
    </row>
    <row r="52" spans="1:7" ht="15.75" customHeight="1">
      <c r="A52" s="43"/>
      <c r="B52" s="43"/>
      <c r="C52" s="43"/>
      <c r="D52" s="43"/>
      <c r="E52" s="43"/>
      <c r="F52" s="43"/>
      <c r="G52" s="43"/>
    </row>
    <row r="53" spans="1:7" ht="15.75" customHeight="1">
      <c r="A53" s="43"/>
      <c r="B53" s="43"/>
      <c r="C53" s="43"/>
      <c r="D53" s="43"/>
      <c r="E53" s="43"/>
      <c r="F53" s="43"/>
      <c r="G53" s="43"/>
    </row>
    <row r="54" spans="1:7" ht="15.75" customHeight="1">
      <c r="A54" s="43"/>
      <c r="B54" s="43"/>
      <c r="C54" s="43"/>
      <c r="D54" s="43"/>
      <c r="E54" s="43"/>
      <c r="F54" s="43"/>
      <c r="G54" s="43"/>
    </row>
    <row r="55" spans="1:7" ht="15.75" customHeight="1">
      <c r="A55" s="43"/>
      <c r="B55" s="43"/>
      <c r="C55" s="43"/>
      <c r="D55" s="43"/>
      <c r="E55" s="43"/>
      <c r="F55" s="43"/>
      <c r="G55" s="43"/>
    </row>
    <row r="56" spans="1:7" ht="15.75" customHeight="1">
      <c r="A56" s="43"/>
      <c r="B56" s="43"/>
      <c r="C56" s="43"/>
      <c r="D56" s="43"/>
      <c r="E56" s="43"/>
      <c r="F56" s="43"/>
      <c r="G56" s="43"/>
    </row>
    <row r="57" spans="1:7" ht="15.75" customHeight="1">
      <c r="A57" s="43"/>
      <c r="B57" s="43"/>
      <c r="C57" s="43"/>
      <c r="D57" s="43"/>
      <c r="E57" s="43"/>
      <c r="F57" s="43"/>
      <c r="G57" s="43"/>
    </row>
    <row r="58" spans="1:7" ht="15.75" customHeight="1">
      <c r="A58" s="43"/>
      <c r="B58" s="43"/>
      <c r="C58" s="43"/>
      <c r="D58" s="43"/>
      <c r="E58" s="43"/>
      <c r="F58" s="43"/>
      <c r="G58" s="43"/>
    </row>
    <row r="59" spans="1:7" ht="15.75" customHeight="1">
      <c r="A59" s="43"/>
      <c r="B59" s="43"/>
      <c r="C59" s="43"/>
      <c r="D59" s="43"/>
      <c r="E59" s="43"/>
      <c r="F59" s="43"/>
      <c r="G59" s="43"/>
    </row>
    <row r="60" spans="1:7" ht="15.75" customHeight="1">
      <c r="A60" s="43"/>
      <c r="B60" s="43"/>
      <c r="C60" s="43"/>
      <c r="D60" s="43"/>
      <c r="E60" s="43"/>
      <c r="F60" s="43"/>
      <c r="G60" s="43"/>
    </row>
    <row r="61" spans="1:7" ht="15.75" customHeight="1">
      <c r="A61" s="43"/>
      <c r="B61" s="43"/>
      <c r="C61" s="43"/>
      <c r="D61" s="43"/>
      <c r="E61" s="43"/>
      <c r="F61" s="43"/>
      <c r="G61" s="43"/>
    </row>
    <row r="62" spans="1:7" ht="15.75" customHeight="1">
      <c r="A62" s="43"/>
      <c r="B62" s="43"/>
      <c r="C62" s="43"/>
      <c r="D62" s="43"/>
      <c r="E62" s="43"/>
      <c r="F62" s="43"/>
      <c r="G62" s="43"/>
    </row>
    <row r="63" spans="1:7" ht="15.75" customHeight="1">
      <c r="A63" s="43"/>
      <c r="B63" s="43"/>
      <c r="C63" s="43"/>
      <c r="D63" s="43"/>
      <c r="E63" s="43"/>
      <c r="F63" s="43"/>
      <c r="G63" s="43"/>
    </row>
    <row r="64" spans="1:7" ht="15.75" customHeight="1">
      <c r="A64" s="43"/>
      <c r="B64" s="43"/>
      <c r="C64" s="43"/>
      <c r="D64" s="43"/>
      <c r="E64" s="43"/>
      <c r="F64" s="43"/>
      <c r="G64" s="43"/>
    </row>
    <row r="65" spans="1:7" ht="15.75" customHeight="1">
      <c r="A65" s="43"/>
      <c r="B65" s="43"/>
      <c r="C65" s="43"/>
      <c r="D65" s="43"/>
      <c r="E65" s="43"/>
      <c r="F65" s="43"/>
      <c r="G65" s="43"/>
    </row>
    <row r="66" spans="1:7" ht="15.75" customHeight="1">
      <c r="A66" s="43"/>
      <c r="B66" s="43"/>
      <c r="C66" s="43"/>
      <c r="D66" s="43"/>
      <c r="E66" s="43"/>
      <c r="F66" s="43"/>
      <c r="G66" s="43"/>
    </row>
    <row r="67" spans="1:7" ht="15.75" customHeight="1">
      <c r="A67" s="43"/>
      <c r="B67" s="43"/>
      <c r="C67" s="43"/>
      <c r="D67" s="43"/>
      <c r="E67" s="43"/>
      <c r="F67" s="43"/>
      <c r="G67" s="43"/>
    </row>
    <row r="68" spans="1:7" ht="15.75" customHeight="1">
      <c r="A68" s="43"/>
      <c r="B68" s="43"/>
      <c r="C68" s="43"/>
      <c r="D68" s="43"/>
      <c r="E68" s="43"/>
      <c r="F68" s="43"/>
      <c r="G68" s="43"/>
    </row>
    <row r="69" spans="1:7" ht="15.75" customHeight="1">
      <c r="A69" s="43"/>
      <c r="B69" s="43"/>
      <c r="C69" s="43"/>
      <c r="D69" s="43"/>
      <c r="E69" s="43"/>
      <c r="F69" s="43"/>
      <c r="G69" s="43"/>
    </row>
    <row r="70" spans="1:7" ht="15.75" customHeight="1">
      <c r="A70" s="43"/>
      <c r="B70" s="43"/>
      <c r="C70" s="43"/>
      <c r="D70" s="43"/>
      <c r="E70" s="43"/>
      <c r="F70" s="43"/>
      <c r="G70" s="43"/>
    </row>
    <row r="71" spans="1:7" ht="15.75" customHeight="1">
      <c r="A71" s="43"/>
      <c r="B71" s="43"/>
      <c r="C71" s="43"/>
      <c r="D71" s="43"/>
      <c r="E71" s="43"/>
      <c r="F71" s="43"/>
      <c r="G71" s="43"/>
    </row>
    <row r="72" spans="1:7" ht="15.75" customHeight="1">
      <c r="A72" s="43"/>
      <c r="B72" s="43"/>
      <c r="C72" s="43"/>
      <c r="D72" s="43"/>
      <c r="E72" s="43"/>
      <c r="F72" s="43"/>
      <c r="G72" s="43"/>
    </row>
    <row r="73" spans="1:7" ht="15.75" customHeight="1">
      <c r="A73" s="43"/>
      <c r="B73" s="43"/>
      <c r="C73" s="43"/>
      <c r="D73" s="43"/>
      <c r="E73" s="43"/>
      <c r="F73" s="43"/>
      <c r="G73" s="43"/>
    </row>
    <row r="74" spans="1:7" ht="15.75" customHeight="1">
      <c r="A74" s="43"/>
      <c r="B74" s="43"/>
      <c r="C74" s="43"/>
      <c r="D74" s="43"/>
      <c r="E74" s="43"/>
      <c r="F74" s="43"/>
      <c r="G74" s="43"/>
    </row>
    <row r="75" spans="1:7" ht="15.75" customHeight="1">
      <c r="A75" s="43"/>
      <c r="B75" s="43"/>
      <c r="C75" s="43"/>
      <c r="D75" s="43"/>
      <c r="E75" s="43"/>
      <c r="F75" s="43"/>
      <c r="G75" s="43"/>
    </row>
    <row r="76" spans="1:7" ht="15.75" customHeight="1">
      <c r="A76" s="43"/>
      <c r="B76" s="43"/>
      <c r="C76" s="43"/>
      <c r="D76" s="43"/>
      <c r="E76" s="43"/>
      <c r="F76" s="43"/>
      <c r="G76" s="43"/>
    </row>
    <row r="77" spans="1:7" ht="15.75" customHeight="1">
      <c r="A77" s="43"/>
      <c r="B77" s="43"/>
      <c r="C77" s="43"/>
      <c r="D77" s="43"/>
      <c r="E77" s="43"/>
      <c r="F77" s="43"/>
      <c r="G77" s="43"/>
    </row>
    <row r="78" spans="1:7" ht="15.75" customHeight="1">
      <c r="A78" s="43"/>
      <c r="B78" s="43"/>
      <c r="C78" s="43"/>
      <c r="D78" s="43"/>
      <c r="E78" s="43"/>
      <c r="F78" s="43"/>
      <c r="G78" s="43"/>
    </row>
    <row r="79" spans="1:7" ht="15.75" customHeight="1">
      <c r="A79" s="43"/>
      <c r="B79" s="43"/>
      <c r="C79" s="43"/>
      <c r="D79" s="43"/>
      <c r="E79" s="43"/>
      <c r="F79" s="43"/>
      <c r="G79" s="43"/>
    </row>
    <row r="80" spans="1:7" ht="15.75" customHeight="1">
      <c r="A80" s="43"/>
      <c r="B80" s="43"/>
      <c r="C80" s="43"/>
      <c r="D80" s="43"/>
      <c r="E80" s="43"/>
      <c r="F80" s="43"/>
      <c r="G80" s="43"/>
    </row>
    <row r="81" spans="1:7" ht="15.75" customHeight="1">
      <c r="A81" s="43"/>
      <c r="B81" s="43"/>
      <c r="C81" s="43"/>
      <c r="D81" s="43"/>
      <c r="E81" s="43"/>
      <c r="F81" s="43"/>
      <c r="G81" s="43"/>
    </row>
    <row r="82" spans="1:7" ht="15.75" customHeight="1">
      <c r="A82" s="43"/>
      <c r="B82" s="43"/>
      <c r="C82" s="43"/>
      <c r="D82" s="43"/>
      <c r="E82" s="43"/>
      <c r="F82" s="43"/>
      <c r="G82" s="43"/>
    </row>
    <row r="83" spans="1:7" ht="15.75" customHeight="1">
      <c r="A83" s="43"/>
      <c r="B83" s="43"/>
      <c r="C83" s="43"/>
      <c r="D83" s="43"/>
      <c r="E83" s="43"/>
      <c r="F83" s="43"/>
      <c r="G83" s="43"/>
    </row>
    <row r="84" spans="1:7" ht="15.75" customHeight="1">
      <c r="A84" s="43"/>
      <c r="B84" s="43"/>
      <c r="C84" s="43"/>
      <c r="D84" s="43"/>
      <c r="E84" s="43"/>
      <c r="F84" s="43"/>
      <c r="G84" s="43"/>
    </row>
    <row r="85" spans="1:7" ht="15.75" customHeight="1">
      <c r="A85" s="43"/>
      <c r="B85" s="43"/>
      <c r="C85" s="43"/>
      <c r="D85" s="43"/>
      <c r="E85" s="43"/>
      <c r="F85" s="43"/>
      <c r="G85" s="43"/>
    </row>
    <row r="86" spans="1:7" ht="15.75" customHeight="1">
      <c r="A86" s="43"/>
      <c r="B86" s="43"/>
      <c r="C86" s="43"/>
      <c r="D86" s="43"/>
      <c r="E86" s="43"/>
      <c r="F86" s="43"/>
      <c r="G86" s="43"/>
    </row>
    <row r="87" spans="1:7" ht="15.75" customHeight="1">
      <c r="A87" s="43"/>
      <c r="B87" s="43"/>
      <c r="C87" s="43"/>
      <c r="D87" s="43"/>
      <c r="E87" s="43"/>
      <c r="F87" s="43"/>
      <c r="G87" s="43"/>
    </row>
    <row r="88" spans="1:7" ht="15.75" customHeight="1">
      <c r="A88" s="43"/>
      <c r="B88" s="43"/>
      <c r="C88" s="43"/>
      <c r="D88" s="43"/>
      <c r="E88" s="43"/>
      <c r="F88" s="43"/>
      <c r="G88" s="43"/>
    </row>
    <row r="89" spans="1:7" ht="15.75" customHeight="1">
      <c r="A89" s="43"/>
      <c r="B89" s="43"/>
      <c r="C89" s="43"/>
      <c r="D89" s="43"/>
      <c r="E89" s="43"/>
      <c r="F89" s="43"/>
      <c r="G89" s="43"/>
    </row>
    <row r="90" spans="1:7" ht="15.75" customHeight="1">
      <c r="A90" s="43"/>
      <c r="B90" s="43"/>
      <c r="C90" s="43"/>
      <c r="D90" s="43"/>
      <c r="E90" s="43"/>
      <c r="F90" s="43"/>
      <c r="G90" s="43"/>
    </row>
    <row r="91" spans="1:7" ht="15.75" customHeight="1">
      <c r="A91" s="43"/>
      <c r="B91" s="43"/>
      <c r="C91" s="43"/>
      <c r="D91" s="43"/>
      <c r="E91" s="43"/>
      <c r="F91" s="43"/>
      <c r="G91" s="43"/>
    </row>
    <row r="92" spans="1:7" ht="15.75" customHeight="1">
      <c r="A92" s="43"/>
      <c r="B92" s="43"/>
      <c r="C92" s="43"/>
      <c r="D92" s="43"/>
      <c r="E92" s="43"/>
      <c r="F92" s="43"/>
      <c r="G92" s="43"/>
    </row>
    <row r="93" spans="1:7" ht="15.75" customHeight="1">
      <c r="A93" s="43"/>
      <c r="B93" s="43"/>
      <c r="C93" s="43"/>
      <c r="D93" s="43"/>
      <c r="E93" s="43"/>
      <c r="F93" s="43"/>
      <c r="G93" s="43"/>
    </row>
    <row r="94" spans="1:7" ht="15.75" customHeight="1">
      <c r="A94" s="43"/>
      <c r="B94" s="43"/>
      <c r="C94" s="43"/>
      <c r="D94" s="43"/>
      <c r="E94" s="43"/>
      <c r="F94" s="43"/>
      <c r="G94" s="43"/>
    </row>
    <row r="95" spans="1:7" ht="15.75" customHeight="1">
      <c r="A95" s="43"/>
      <c r="B95" s="43"/>
      <c r="C95" s="43"/>
      <c r="D95" s="43"/>
      <c r="E95" s="43"/>
      <c r="F95" s="43"/>
      <c r="G95" s="43"/>
    </row>
    <row r="96" spans="1:7" ht="15.75" customHeight="1">
      <c r="A96" s="43"/>
      <c r="B96" s="43"/>
      <c r="C96" s="43"/>
      <c r="D96" s="43"/>
      <c r="E96" s="43"/>
      <c r="F96" s="43"/>
      <c r="G96" s="43"/>
    </row>
    <row r="97" spans="1:7" ht="15.75" customHeight="1">
      <c r="A97" s="43"/>
      <c r="B97" s="43"/>
      <c r="C97" s="43"/>
      <c r="D97" s="43"/>
      <c r="E97" s="43"/>
      <c r="F97" s="43"/>
      <c r="G97" s="43"/>
    </row>
    <row r="98" spans="1:7" ht="15.75" customHeight="1">
      <c r="A98" s="43"/>
      <c r="B98" s="43"/>
      <c r="C98" s="43"/>
      <c r="D98" s="43"/>
      <c r="E98" s="43"/>
      <c r="F98" s="43"/>
      <c r="G98" s="43"/>
    </row>
    <row r="99" spans="1:7" ht="15.75" customHeight="1">
      <c r="A99" s="43"/>
      <c r="B99" s="43"/>
      <c r="C99" s="43"/>
      <c r="D99" s="43"/>
      <c r="E99" s="43"/>
      <c r="F99" s="43"/>
      <c r="G99" s="43"/>
    </row>
    <row r="100" spans="1:7" ht="15.75" customHeight="1">
      <c r="A100" s="43"/>
      <c r="B100" s="43"/>
      <c r="C100" s="43"/>
      <c r="D100" s="43"/>
      <c r="E100" s="43"/>
      <c r="F100" s="43"/>
      <c r="G100" s="43"/>
    </row>
    <row r="101" spans="1:7" ht="15.75" customHeight="1">
      <c r="A101" s="43"/>
      <c r="B101" s="43"/>
      <c r="C101" s="43"/>
      <c r="D101" s="43"/>
      <c r="E101" s="43"/>
      <c r="F101" s="43"/>
      <c r="G101" s="43"/>
    </row>
    <row r="102" spans="1:7" ht="15.75" customHeight="1">
      <c r="A102" s="43"/>
      <c r="B102" s="43"/>
      <c r="C102" s="43"/>
      <c r="D102" s="43"/>
      <c r="E102" s="43"/>
      <c r="F102" s="43"/>
      <c r="G102" s="43"/>
    </row>
    <row r="103" spans="1:7" ht="15.75" customHeight="1">
      <c r="A103" s="43"/>
      <c r="B103" s="43"/>
      <c r="C103" s="43"/>
      <c r="D103" s="43"/>
      <c r="E103" s="43"/>
      <c r="F103" s="43"/>
      <c r="G103" s="43"/>
    </row>
    <row r="104" spans="1:7" ht="15.75" customHeight="1">
      <c r="A104" s="43"/>
      <c r="B104" s="43"/>
      <c r="C104" s="43"/>
      <c r="D104" s="43"/>
      <c r="E104" s="43"/>
      <c r="F104" s="43"/>
      <c r="G104" s="43"/>
    </row>
    <row r="105" spans="1:7" ht="15.75" customHeight="1">
      <c r="A105" s="43"/>
      <c r="B105" s="43"/>
      <c r="C105" s="43"/>
      <c r="D105" s="43"/>
      <c r="E105" s="43"/>
      <c r="F105" s="43"/>
      <c r="G105" s="43"/>
    </row>
    <row r="106" spans="1:7" ht="15.75" customHeight="1">
      <c r="A106" s="43"/>
      <c r="B106" s="43"/>
      <c r="C106" s="43"/>
      <c r="D106" s="43"/>
      <c r="E106" s="43"/>
      <c r="F106" s="43"/>
      <c r="G106" s="43"/>
    </row>
    <row r="107" spans="1:7" ht="15.75" customHeight="1">
      <c r="A107" s="43"/>
      <c r="B107" s="43"/>
      <c r="C107" s="43"/>
      <c r="D107" s="43"/>
      <c r="E107" s="43"/>
      <c r="F107" s="43"/>
      <c r="G107" s="43"/>
    </row>
    <row r="108" spans="1:7" ht="15.75" customHeight="1">
      <c r="A108" s="43"/>
      <c r="B108" s="43"/>
      <c r="C108" s="43"/>
      <c r="D108" s="43"/>
      <c r="E108" s="43"/>
      <c r="F108" s="43"/>
      <c r="G108" s="43"/>
    </row>
    <row r="109" spans="1:7" ht="15.75" customHeight="1">
      <c r="A109" s="43"/>
      <c r="B109" s="43"/>
      <c r="C109" s="43"/>
      <c r="D109" s="43"/>
      <c r="E109" s="43"/>
      <c r="F109" s="43"/>
      <c r="G109" s="43"/>
    </row>
    <row r="110" spans="1:7" ht="15.75" customHeight="1">
      <c r="A110" s="43"/>
      <c r="B110" s="43"/>
      <c r="C110" s="43"/>
      <c r="D110" s="43"/>
      <c r="E110" s="43"/>
      <c r="F110" s="43"/>
      <c r="G110" s="43"/>
    </row>
    <row r="111" spans="1:7" ht="15.75" customHeight="1">
      <c r="A111" s="43"/>
      <c r="B111" s="43"/>
      <c r="C111" s="43"/>
      <c r="D111" s="43"/>
      <c r="E111" s="43"/>
      <c r="F111" s="43"/>
      <c r="G111" s="43"/>
    </row>
    <row r="112" spans="1:7" ht="15.75" customHeight="1">
      <c r="A112" s="43"/>
      <c r="B112" s="43"/>
      <c r="C112" s="43"/>
      <c r="D112" s="43"/>
      <c r="E112" s="43"/>
      <c r="F112" s="43"/>
      <c r="G112" s="43"/>
    </row>
    <row r="113" spans="1:7" ht="15.75" customHeight="1">
      <c r="A113" s="43"/>
      <c r="B113" s="43"/>
      <c r="C113" s="43"/>
      <c r="D113" s="43"/>
      <c r="E113" s="43"/>
      <c r="F113" s="43"/>
      <c r="G113" s="43"/>
    </row>
    <row r="114" spans="1:7" ht="15.75" customHeight="1">
      <c r="A114" s="43"/>
      <c r="B114" s="43"/>
      <c r="C114" s="43"/>
      <c r="D114" s="43"/>
      <c r="E114" s="43"/>
      <c r="F114" s="43"/>
      <c r="G114" s="43"/>
    </row>
    <row r="115" spans="1:7" ht="15.75" customHeight="1">
      <c r="A115" s="43"/>
      <c r="B115" s="43"/>
      <c r="C115" s="43"/>
      <c r="D115" s="43"/>
      <c r="E115" s="43"/>
      <c r="F115" s="43"/>
      <c r="G115" s="43"/>
    </row>
    <row r="116" spans="1:7" ht="15.75" customHeight="1">
      <c r="A116" s="43"/>
      <c r="B116" s="43"/>
      <c r="C116" s="43"/>
      <c r="D116" s="43"/>
      <c r="E116" s="43"/>
      <c r="F116" s="43"/>
      <c r="G116" s="43"/>
    </row>
    <row r="117" spans="1:7" ht="15.75" customHeight="1">
      <c r="A117" s="43"/>
      <c r="B117" s="43"/>
      <c r="C117" s="43"/>
      <c r="D117" s="43"/>
      <c r="E117" s="43"/>
      <c r="F117" s="43"/>
      <c r="G117" s="43"/>
    </row>
    <row r="118" spans="1:7" ht="15.75" customHeight="1">
      <c r="A118" s="43"/>
      <c r="B118" s="43"/>
      <c r="C118" s="43"/>
      <c r="D118" s="43"/>
      <c r="E118" s="43"/>
      <c r="F118" s="43"/>
      <c r="G118" s="43"/>
    </row>
    <row r="119" spans="1:7" ht="15.75" customHeight="1">
      <c r="A119" s="43"/>
      <c r="B119" s="43"/>
      <c r="C119" s="43"/>
      <c r="D119" s="43"/>
      <c r="E119" s="43"/>
      <c r="F119" s="43"/>
      <c r="G119" s="43"/>
    </row>
    <row r="120" spans="1:7" ht="15.75" customHeight="1">
      <c r="A120" s="43"/>
      <c r="B120" s="43"/>
      <c r="C120" s="43"/>
      <c r="D120" s="43"/>
      <c r="E120" s="43"/>
      <c r="F120" s="43"/>
      <c r="G120" s="43"/>
    </row>
    <row r="121" spans="1:7" ht="15.75" customHeight="1">
      <c r="A121" s="43"/>
      <c r="B121" s="43"/>
      <c r="C121" s="43"/>
      <c r="D121" s="43"/>
      <c r="E121" s="43"/>
      <c r="F121" s="43"/>
      <c r="G121" s="43"/>
    </row>
    <row r="122" spans="1:7" ht="15.75" customHeight="1">
      <c r="A122" s="43"/>
      <c r="B122" s="43"/>
      <c r="C122" s="43"/>
      <c r="D122" s="43"/>
      <c r="E122" s="43"/>
      <c r="F122" s="43"/>
      <c r="G122" s="43"/>
    </row>
    <row r="123" spans="1:7" ht="15.75" customHeight="1">
      <c r="A123" s="43"/>
      <c r="B123" s="43"/>
      <c r="C123" s="43"/>
      <c r="D123" s="43"/>
      <c r="E123" s="43"/>
      <c r="F123" s="43"/>
      <c r="G123" s="43"/>
    </row>
    <row r="124" spans="1:7" ht="15.75" customHeight="1">
      <c r="A124" s="43"/>
      <c r="B124" s="43"/>
      <c r="C124" s="43"/>
      <c r="D124" s="43"/>
      <c r="E124" s="43"/>
      <c r="F124" s="43"/>
      <c r="G124" s="43"/>
    </row>
    <row r="125" spans="1:7" ht="15.75" customHeight="1">
      <c r="A125" s="43"/>
      <c r="B125" s="43"/>
      <c r="C125" s="43"/>
      <c r="D125" s="43"/>
      <c r="E125" s="43"/>
      <c r="F125" s="43"/>
      <c r="G125" s="43"/>
    </row>
    <row r="126" spans="1:7" ht="15.75" customHeight="1">
      <c r="A126" s="43"/>
      <c r="B126" s="43"/>
      <c r="C126" s="43"/>
      <c r="D126" s="43"/>
      <c r="E126" s="43"/>
      <c r="F126" s="43"/>
      <c r="G126" s="43"/>
    </row>
    <row r="127" spans="1:7" ht="15.75" customHeight="1">
      <c r="A127" s="43"/>
      <c r="B127" s="43"/>
      <c r="C127" s="43"/>
      <c r="D127" s="43"/>
      <c r="E127" s="43"/>
      <c r="F127" s="43"/>
      <c r="G127" s="43"/>
    </row>
    <row r="128" spans="1:7" ht="15.75" customHeight="1">
      <c r="A128" s="43"/>
      <c r="B128" s="43"/>
      <c r="C128" s="43"/>
      <c r="D128" s="43"/>
      <c r="E128" s="43"/>
      <c r="F128" s="43"/>
      <c r="G128" s="43"/>
    </row>
    <row r="129" spans="1:7" ht="15.75" customHeight="1">
      <c r="A129" s="43"/>
      <c r="B129" s="43"/>
      <c r="C129" s="43"/>
      <c r="D129" s="43"/>
      <c r="E129" s="43"/>
      <c r="F129" s="43"/>
      <c r="G129" s="43"/>
    </row>
    <row r="130" spans="1:7" ht="15.75" customHeight="1">
      <c r="A130" s="43"/>
      <c r="B130" s="43"/>
      <c r="C130" s="43"/>
      <c r="D130" s="43"/>
      <c r="E130" s="43"/>
      <c r="F130" s="43"/>
      <c r="G130" s="43"/>
    </row>
    <row r="131" spans="1:7" ht="15.75" customHeight="1">
      <c r="A131" s="43"/>
      <c r="B131" s="43"/>
      <c r="C131" s="43"/>
      <c r="D131" s="43"/>
      <c r="E131" s="43"/>
      <c r="F131" s="43"/>
      <c r="G131" s="43"/>
    </row>
    <row r="132" spans="1:7" ht="15.75" customHeight="1">
      <c r="A132" s="43"/>
      <c r="B132" s="43"/>
      <c r="C132" s="43"/>
      <c r="D132" s="43"/>
      <c r="E132" s="43"/>
      <c r="F132" s="43"/>
      <c r="G132" s="43"/>
    </row>
    <row r="133" spans="1:7" ht="15.75" customHeight="1">
      <c r="A133" s="43"/>
      <c r="B133" s="43"/>
      <c r="C133" s="43"/>
      <c r="D133" s="43"/>
      <c r="E133" s="43"/>
      <c r="F133" s="43"/>
      <c r="G133" s="43"/>
    </row>
    <row r="134" spans="1:7" ht="15.75" customHeight="1">
      <c r="A134" s="43"/>
      <c r="B134" s="43"/>
      <c r="C134" s="43"/>
      <c r="D134" s="43"/>
      <c r="E134" s="43"/>
      <c r="F134" s="43"/>
      <c r="G134" s="43"/>
    </row>
    <row r="135" spans="1:7" ht="15.75" customHeight="1">
      <c r="A135" s="43"/>
      <c r="B135" s="43"/>
      <c r="C135" s="43"/>
      <c r="D135" s="43"/>
      <c r="E135" s="43"/>
      <c r="F135" s="43"/>
      <c r="G135" s="43"/>
    </row>
    <row r="136" spans="1:7" ht="15.75" customHeight="1">
      <c r="A136" s="43"/>
      <c r="B136" s="43"/>
      <c r="C136" s="43"/>
      <c r="D136" s="43"/>
      <c r="E136" s="43"/>
      <c r="F136" s="43"/>
      <c r="G136" s="43"/>
    </row>
    <row r="137" spans="1:7" ht="15.75" customHeight="1">
      <c r="A137" s="43"/>
      <c r="B137" s="43"/>
      <c r="C137" s="43"/>
      <c r="D137" s="43"/>
      <c r="E137" s="43"/>
      <c r="F137" s="43"/>
      <c r="G137" s="43"/>
    </row>
    <row r="138" spans="1:7" ht="15.75" customHeight="1">
      <c r="A138" s="43"/>
      <c r="B138" s="43"/>
      <c r="C138" s="43"/>
      <c r="D138" s="43"/>
      <c r="E138" s="43"/>
      <c r="F138" s="43"/>
      <c r="G138" s="43"/>
    </row>
    <row r="139" spans="1:7" ht="15.75" customHeight="1">
      <c r="A139" s="43"/>
      <c r="B139" s="43"/>
      <c r="C139" s="43"/>
      <c r="D139" s="43"/>
      <c r="E139" s="43"/>
      <c r="F139" s="43"/>
      <c r="G139" s="43"/>
    </row>
    <row r="140" spans="1:7" ht="15.75" customHeight="1">
      <c r="A140" s="43"/>
      <c r="B140" s="43"/>
      <c r="C140" s="43"/>
      <c r="D140" s="43"/>
      <c r="E140" s="43"/>
      <c r="F140" s="43"/>
      <c r="G140" s="43"/>
    </row>
    <row r="141" spans="1:7" ht="15.75" customHeight="1">
      <c r="A141" s="43"/>
      <c r="B141" s="43"/>
      <c r="C141" s="43"/>
      <c r="D141" s="43"/>
      <c r="E141" s="43"/>
      <c r="F141" s="43"/>
      <c r="G141" s="43"/>
    </row>
    <row r="142" spans="1:7" ht="15.75" customHeight="1">
      <c r="A142" s="43"/>
      <c r="B142" s="43"/>
      <c r="C142" s="43"/>
      <c r="D142" s="43"/>
      <c r="E142" s="43"/>
      <c r="F142" s="43"/>
      <c r="G142" s="43"/>
    </row>
    <row r="143" spans="1:7" ht="15.75" customHeight="1">
      <c r="A143" s="43"/>
      <c r="B143" s="43"/>
      <c r="C143" s="43"/>
      <c r="D143" s="43"/>
      <c r="E143" s="43"/>
      <c r="F143" s="43"/>
      <c r="G143" s="43"/>
    </row>
    <row r="144" spans="1:7" ht="15.75" customHeight="1">
      <c r="A144" s="43"/>
      <c r="B144" s="43"/>
      <c r="C144" s="43"/>
      <c r="D144" s="43"/>
      <c r="E144" s="43"/>
      <c r="F144" s="43"/>
      <c r="G144" s="43"/>
    </row>
    <row r="145" spans="1:7" ht="15.75" customHeight="1">
      <c r="A145" s="43"/>
      <c r="B145" s="43"/>
      <c r="C145" s="43"/>
      <c r="D145" s="43"/>
      <c r="E145" s="43"/>
      <c r="F145" s="43"/>
      <c r="G145" s="43"/>
    </row>
    <row r="146" spans="1:7" ht="15.75" customHeight="1">
      <c r="A146" s="43"/>
      <c r="B146" s="43"/>
      <c r="C146" s="43"/>
      <c r="D146" s="43"/>
      <c r="E146" s="43"/>
      <c r="F146" s="43"/>
      <c r="G146" s="43"/>
    </row>
    <row r="147" spans="1:7" ht="15.75" customHeight="1">
      <c r="A147" s="43"/>
      <c r="B147" s="43"/>
      <c r="C147" s="43"/>
      <c r="D147" s="43"/>
      <c r="E147" s="43"/>
      <c r="F147" s="43"/>
      <c r="G147" s="43"/>
    </row>
    <row r="148" spans="1:7" ht="15.75" customHeight="1">
      <c r="A148" s="43"/>
      <c r="B148" s="43"/>
      <c r="C148" s="43"/>
      <c r="D148" s="43"/>
      <c r="E148" s="43"/>
      <c r="F148" s="43"/>
      <c r="G148" s="43"/>
    </row>
    <row r="149" spans="1:7" ht="15.75" customHeight="1">
      <c r="A149" s="43"/>
      <c r="B149" s="43"/>
      <c r="C149" s="43"/>
      <c r="D149" s="43"/>
      <c r="E149" s="43"/>
      <c r="F149" s="43"/>
      <c r="G149" s="43"/>
    </row>
    <row r="150" spans="1:7" ht="15.75" customHeight="1">
      <c r="A150" s="43"/>
      <c r="B150" s="43"/>
      <c r="C150" s="43"/>
      <c r="D150" s="43"/>
      <c r="E150" s="43"/>
      <c r="F150" s="43"/>
      <c r="G150" s="43"/>
    </row>
    <row r="151" spans="1:7" ht="15.75" customHeight="1">
      <c r="A151" s="43"/>
      <c r="B151" s="43"/>
      <c r="C151" s="43"/>
      <c r="D151" s="43"/>
      <c r="E151" s="43"/>
      <c r="F151" s="43"/>
      <c r="G151" s="43"/>
    </row>
    <row r="152" spans="1:7" ht="15.75" customHeight="1">
      <c r="A152" s="43"/>
      <c r="B152" s="43"/>
      <c r="C152" s="43"/>
      <c r="D152" s="43"/>
      <c r="E152" s="43"/>
      <c r="F152" s="43"/>
      <c r="G152" s="43"/>
    </row>
    <row r="153" spans="1:7" ht="15.75" customHeight="1">
      <c r="A153" s="43"/>
      <c r="B153" s="43"/>
      <c r="C153" s="43"/>
      <c r="D153" s="43"/>
      <c r="E153" s="43"/>
      <c r="F153" s="43"/>
      <c r="G153" s="43"/>
    </row>
    <row r="154" spans="1:7" ht="15.75" customHeight="1">
      <c r="A154" s="43"/>
      <c r="B154" s="43"/>
      <c r="C154" s="43"/>
      <c r="D154" s="43"/>
      <c r="E154" s="43"/>
      <c r="F154" s="43"/>
      <c r="G154" s="43"/>
    </row>
    <row r="155" spans="1:7" ht="15.75" customHeight="1">
      <c r="A155" s="43"/>
      <c r="B155" s="43"/>
      <c r="C155" s="43"/>
      <c r="D155" s="43"/>
      <c r="E155" s="43"/>
      <c r="F155" s="43"/>
      <c r="G155" s="43"/>
    </row>
    <row r="156" spans="1:7" ht="15.75" customHeight="1">
      <c r="A156" s="43"/>
      <c r="B156" s="43"/>
      <c r="C156" s="43"/>
      <c r="D156" s="43"/>
      <c r="E156" s="43"/>
      <c r="F156" s="43"/>
      <c r="G156" s="43"/>
    </row>
    <row r="157" spans="1:7" ht="15.75" customHeight="1">
      <c r="A157" s="43"/>
      <c r="B157" s="43"/>
      <c r="C157" s="43"/>
      <c r="D157" s="43"/>
      <c r="E157" s="43"/>
      <c r="F157" s="43"/>
      <c r="G157" s="43"/>
    </row>
    <row r="158" spans="1:7" ht="15.75" customHeight="1">
      <c r="A158" s="43"/>
      <c r="B158" s="43"/>
      <c r="C158" s="43"/>
      <c r="D158" s="43"/>
      <c r="E158" s="43"/>
      <c r="F158" s="43"/>
      <c r="G158" s="43"/>
    </row>
    <row r="159" spans="1:7" ht="15.75" customHeight="1">
      <c r="A159" s="43"/>
      <c r="B159" s="43"/>
      <c r="C159" s="43"/>
      <c r="D159" s="43"/>
      <c r="E159" s="43"/>
      <c r="F159" s="43"/>
      <c r="G159" s="43"/>
    </row>
    <row r="160" spans="1:7" ht="15.75" customHeight="1">
      <c r="A160" s="43"/>
      <c r="B160" s="43"/>
      <c r="C160" s="43"/>
      <c r="D160" s="43"/>
      <c r="E160" s="43"/>
      <c r="F160" s="43"/>
      <c r="G160" s="43"/>
    </row>
    <row r="161" spans="1:7" ht="15.75" customHeight="1">
      <c r="A161" s="43"/>
      <c r="B161" s="43"/>
      <c r="C161" s="43"/>
      <c r="D161" s="43"/>
      <c r="E161" s="43"/>
      <c r="F161" s="43"/>
      <c r="G161" s="43"/>
    </row>
    <row r="162" spans="1:7" ht="15.75" customHeight="1">
      <c r="A162" s="43"/>
      <c r="B162" s="43"/>
      <c r="C162" s="43"/>
      <c r="D162" s="43"/>
      <c r="E162" s="43"/>
      <c r="F162" s="43"/>
      <c r="G162" s="43"/>
    </row>
    <row r="163" spans="1:7" ht="15.75" customHeight="1">
      <c r="A163" s="43"/>
      <c r="B163" s="43"/>
      <c r="C163" s="43"/>
      <c r="D163" s="43"/>
      <c r="E163" s="43"/>
      <c r="F163" s="43"/>
      <c r="G163" s="43"/>
    </row>
    <row r="164" spans="1:7" ht="15.75" customHeight="1">
      <c r="A164" s="43"/>
      <c r="B164" s="43"/>
      <c r="C164" s="43"/>
      <c r="D164" s="43"/>
      <c r="E164" s="43"/>
      <c r="F164" s="43"/>
      <c r="G164" s="43"/>
    </row>
    <row r="165" spans="1:7" ht="15.75" customHeight="1">
      <c r="A165" s="43"/>
      <c r="B165" s="43"/>
      <c r="C165" s="43"/>
      <c r="D165" s="43"/>
      <c r="E165" s="43"/>
      <c r="F165" s="43"/>
      <c r="G165" s="43"/>
    </row>
    <row r="166" spans="1:7" ht="15.75" customHeight="1">
      <c r="A166" s="43"/>
      <c r="B166" s="43"/>
      <c r="C166" s="43"/>
      <c r="D166" s="43"/>
      <c r="E166" s="43"/>
      <c r="F166" s="43"/>
      <c r="G166" s="43"/>
    </row>
    <row r="167" spans="1:7" ht="15.75" customHeight="1">
      <c r="A167" s="43"/>
      <c r="B167" s="43"/>
      <c r="C167" s="43"/>
      <c r="D167" s="43"/>
      <c r="E167" s="43"/>
      <c r="F167" s="43"/>
      <c r="G167" s="43"/>
    </row>
    <row r="168" spans="1:7" ht="15.75" customHeight="1">
      <c r="A168" s="43"/>
      <c r="B168" s="43"/>
      <c r="C168" s="43"/>
      <c r="D168" s="43"/>
      <c r="E168" s="43"/>
      <c r="F168" s="43"/>
      <c r="G168" s="43"/>
    </row>
    <row r="169" spans="1:7" ht="15.75" customHeight="1">
      <c r="A169" s="43"/>
      <c r="B169" s="43"/>
      <c r="C169" s="43"/>
      <c r="D169" s="43"/>
      <c r="E169" s="43"/>
      <c r="F169" s="43"/>
      <c r="G169" s="43"/>
    </row>
    <row r="170" spans="1:7" ht="15.75" customHeight="1">
      <c r="A170" s="43"/>
      <c r="B170" s="43"/>
      <c r="C170" s="43"/>
      <c r="D170" s="43"/>
      <c r="E170" s="43"/>
      <c r="F170" s="43"/>
      <c r="G170" s="43"/>
    </row>
    <row r="171" spans="1:7" ht="15.75" customHeight="1">
      <c r="A171" s="43"/>
      <c r="B171" s="43"/>
      <c r="C171" s="43"/>
      <c r="D171" s="43"/>
      <c r="E171" s="43"/>
      <c r="F171" s="43"/>
      <c r="G171" s="43"/>
    </row>
    <row r="172" spans="1:7" ht="15.75" customHeight="1">
      <c r="A172" s="43"/>
      <c r="B172" s="43"/>
      <c r="C172" s="43"/>
      <c r="D172" s="43"/>
      <c r="E172" s="43"/>
      <c r="F172" s="43"/>
      <c r="G172" s="43"/>
    </row>
    <row r="173" spans="1:7" ht="15.75" customHeight="1">
      <c r="A173" s="43"/>
      <c r="B173" s="43"/>
      <c r="C173" s="43"/>
      <c r="D173" s="43"/>
      <c r="E173" s="43"/>
      <c r="F173" s="43"/>
      <c r="G173" s="43"/>
    </row>
    <row r="174" spans="1:7" ht="15.75" customHeight="1">
      <c r="A174" s="43"/>
      <c r="B174" s="43"/>
      <c r="C174" s="43"/>
      <c r="D174" s="43"/>
      <c r="E174" s="43"/>
      <c r="F174" s="43"/>
      <c r="G174" s="43"/>
    </row>
    <row r="175" spans="1:7" ht="15.75" customHeight="1">
      <c r="A175" s="43"/>
      <c r="B175" s="43"/>
      <c r="C175" s="43"/>
      <c r="D175" s="43"/>
      <c r="E175" s="43"/>
      <c r="F175" s="43"/>
      <c r="G175" s="43"/>
    </row>
    <row r="176" spans="1:7" ht="15.75" customHeight="1">
      <c r="A176" s="43"/>
      <c r="B176" s="43"/>
      <c r="C176" s="43"/>
      <c r="D176" s="43"/>
      <c r="E176" s="43"/>
      <c r="F176" s="43"/>
      <c r="G176" s="43"/>
    </row>
    <row r="177" spans="1:7" ht="15.75" customHeight="1">
      <c r="A177" s="43"/>
      <c r="B177" s="43"/>
      <c r="C177" s="43"/>
      <c r="D177" s="43"/>
      <c r="E177" s="43"/>
      <c r="F177" s="43"/>
      <c r="G177" s="43"/>
    </row>
    <row r="178" spans="1:7" ht="15.75" customHeight="1">
      <c r="A178" s="43"/>
      <c r="B178" s="43"/>
      <c r="C178" s="43"/>
      <c r="D178" s="43"/>
      <c r="E178" s="43"/>
      <c r="F178" s="43"/>
      <c r="G178" s="43"/>
    </row>
    <row r="179" spans="1:7" ht="15.75" customHeight="1">
      <c r="A179" s="43"/>
      <c r="B179" s="43"/>
      <c r="C179" s="43"/>
      <c r="D179" s="43"/>
      <c r="E179" s="43"/>
      <c r="F179" s="43"/>
      <c r="G179" s="43"/>
    </row>
    <row r="180" spans="1:7" ht="15.75" customHeight="1">
      <c r="A180" s="43"/>
      <c r="B180" s="43"/>
      <c r="C180" s="43"/>
      <c r="D180" s="43"/>
      <c r="E180" s="43"/>
      <c r="F180" s="43"/>
      <c r="G180" s="43"/>
    </row>
    <row r="181" spans="1:7" ht="15.75" customHeight="1">
      <c r="A181" s="43"/>
      <c r="B181" s="43"/>
      <c r="C181" s="43"/>
      <c r="D181" s="43"/>
      <c r="E181" s="43"/>
      <c r="F181" s="43"/>
      <c r="G181" s="43"/>
    </row>
    <row r="182" spans="1:7" ht="15.75" customHeight="1">
      <c r="A182" s="43"/>
      <c r="B182" s="43"/>
      <c r="C182" s="43"/>
      <c r="D182" s="43"/>
      <c r="E182" s="43"/>
      <c r="F182" s="43"/>
      <c r="G182" s="43"/>
    </row>
    <row r="183" spans="1:7" ht="15.75" customHeight="1">
      <c r="A183" s="43"/>
      <c r="B183" s="43"/>
      <c r="C183" s="43"/>
      <c r="D183" s="43"/>
      <c r="E183" s="43"/>
      <c r="F183" s="43"/>
      <c r="G183" s="43"/>
    </row>
    <row r="184" spans="1:7" ht="15.75" customHeight="1">
      <c r="A184" s="43"/>
      <c r="B184" s="43"/>
      <c r="C184" s="43"/>
      <c r="D184" s="43"/>
      <c r="E184" s="43"/>
      <c r="F184" s="43"/>
      <c r="G184" s="43"/>
    </row>
    <row r="185" spans="1:7" ht="15.75" customHeight="1">
      <c r="A185" s="43"/>
      <c r="B185" s="43"/>
      <c r="C185" s="43"/>
      <c r="D185" s="43"/>
      <c r="E185" s="43"/>
      <c r="F185" s="43"/>
      <c r="G185" s="43"/>
    </row>
    <row r="186" spans="1:7" ht="15.75" customHeight="1">
      <c r="A186" s="43"/>
      <c r="B186" s="43"/>
      <c r="C186" s="43"/>
      <c r="D186" s="43"/>
      <c r="E186" s="43"/>
      <c r="F186" s="43"/>
      <c r="G186" s="43"/>
    </row>
    <row r="187" spans="1:7" ht="15.75" customHeight="1">
      <c r="A187" s="43"/>
      <c r="B187" s="43"/>
      <c r="C187" s="43"/>
      <c r="D187" s="43"/>
      <c r="E187" s="43"/>
      <c r="F187" s="43"/>
      <c r="G187" s="43"/>
    </row>
    <row r="188" spans="1:7" ht="15.75" customHeight="1">
      <c r="A188" s="43"/>
      <c r="B188" s="43"/>
      <c r="C188" s="43"/>
      <c r="D188" s="43"/>
      <c r="E188" s="43"/>
      <c r="F188" s="43"/>
      <c r="G188" s="43"/>
    </row>
    <row r="189" spans="1:7" ht="15.75" customHeight="1">
      <c r="A189" s="43"/>
      <c r="B189" s="43"/>
      <c r="C189" s="43"/>
      <c r="D189" s="43"/>
      <c r="E189" s="43"/>
      <c r="F189" s="43"/>
      <c r="G189" s="43"/>
    </row>
    <row r="190" spans="1:7" ht="15.75" customHeight="1">
      <c r="A190" s="43"/>
      <c r="B190" s="43"/>
      <c r="C190" s="43"/>
      <c r="D190" s="43"/>
      <c r="E190" s="43"/>
      <c r="F190" s="43"/>
      <c r="G190" s="43"/>
    </row>
    <row r="191" spans="1:7" ht="15.75" customHeight="1">
      <c r="A191" s="43"/>
      <c r="B191" s="43"/>
      <c r="C191" s="43"/>
      <c r="D191" s="43"/>
      <c r="E191" s="43"/>
      <c r="F191" s="43"/>
      <c r="G191" s="43"/>
    </row>
    <row r="192" spans="1:7" ht="15.75" customHeight="1">
      <c r="A192" s="43"/>
      <c r="B192" s="43"/>
      <c r="C192" s="43"/>
      <c r="D192" s="43"/>
      <c r="E192" s="43"/>
      <c r="F192" s="43"/>
      <c r="G192" s="43"/>
    </row>
    <row r="193" spans="1:7" ht="15.75" customHeight="1">
      <c r="A193" s="43"/>
      <c r="B193" s="43"/>
      <c r="C193" s="43"/>
      <c r="D193" s="43"/>
      <c r="E193" s="43"/>
      <c r="F193" s="43"/>
      <c r="G193" s="43"/>
    </row>
    <row r="194" spans="1:7" ht="15.75" customHeight="1">
      <c r="A194" s="43"/>
      <c r="B194" s="43"/>
      <c r="C194" s="43"/>
      <c r="D194" s="43"/>
      <c r="E194" s="43"/>
      <c r="F194" s="43"/>
      <c r="G194" s="43"/>
    </row>
    <row r="195" spans="1:7" ht="15.75" customHeight="1">
      <c r="A195" s="43"/>
      <c r="B195" s="43"/>
      <c r="C195" s="43"/>
      <c r="D195" s="43"/>
      <c r="E195" s="43"/>
      <c r="F195" s="43"/>
      <c r="G195" s="43"/>
    </row>
    <row r="196" spans="1:7" ht="15.75" customHeight="1">
      <c r="A196" s="43"/>
      <c r="B196" s="43"/>
      <c r="C196" s="43"/>
      <c r="D196" s="43"/>
      <c r="E196" s="43"/>
      <c r="F196" s="43"/>
      <c r="G196" s="43"/>
    </row>
    <row r="197" spans="1:7" ht="15.75" customHeight="1">
      <c r="A197" s="43"/>
      <c r="B197" s="43"/>
      <c r="C197" s="43"/>
      <c r="D197" s="43"/>
      <c r="E197" s="43"/>
      <c r="F197" s="43"/>
      <c r="G197" s="43"/>
    </row>
    <row r="198" spans="1:7" ht="15.75" customHeight="1">
      <c r="A198" s="43"/>
      <c r="B198" s="43"/>
      <c r="C198" s="43"/>
      <c r="D198" s="43"/>
      <c r="E198" s="43"/>
      <c r="F198" s="43"/>
      <c r="G198" s="43"/>
    </row>
    <row r="199" spans="1:7" ht="15.75" customHeight="1">
      <c r="A199" s="43"/>
      <c r="B199" s="43"/>
      <c r="C199" s="43"/>
      <c r="D199" s="43"/>
      <c r="E199" s="43"/>
      <c r="F199" s="43"/>
      <c r="G199" s="43"/>
    </row>
    <row r="200" spans="1:7" ht="15.75" customHeight="1">
      <c r="A200" s="43"/>
      <c r="B200" s="43"/>
      <c r="C200" s="43"/>
      <c r="D200" s="43"/>
      <c r="E200" s="43"/>
      <c r="F200" s="43"/>
      <c r="G200" s="43"/>
    </row>
    <row r="201" spans="1:7" ht="15.75" customHeight="1">
      <c r="A201" s="43"/>
      <c r="B201" s="43"/>
      <c r="C201" s="43"/>
      <c r="D201" s="43"/>
      <c r="E201" s="43"/>
      <c r="F201" s="43"/>
      <c r="G201" s="43"/>
    </row>
    <row r="202" spans="1:7" ht="15.75" customHeight="1">
      <c r="A202" s="43"/>
      <c r="B202" s="43"/>
      <c r="C202" s="43"/>
      <c r="D202" s="43"/>
      <c r="E202" s="43"/>
      <c r="F202" s="43"/>
      <c r="G202" s="43"/>
    </row>
    <row r="203" spans="1:7" ht="15.75" customHeight="1">
      <c r="A203" s="43"/>
      <c r="B203" s="43"/>
      <c r="C203" s="43"/>
      <c r="D203" s="43"/>
      <c r="E203" s="43"/>
      <c r="F203" s="43"/>
      <c r="G203" s="43"/>
    </row>
    <row r="204" spans="1:7" ht="15.75" customHeight="1">
      <c r="A204" s="43"/>
      <c r="B204" s="43"/>
      <c r="C204" s="43"/>
      <c r="D204" s="43"/>
      <c r="E204" s="43"/>
      <c r="F204" s="43"/>
      <c r="G204" s="43"/>
    </row>
    <row r="205" spans="1:7" ht="15.75" customHeight="1">
      <c r="A205" s="43"/>
      <c r="B205" s="43"/>
      <c r="C205" s="43"/>
      <c r="D205" s="43"/>
      <c r="E205" s="43"/>
      <c r="F205" s="43"/>
      <c r="G205" s="43"/>
    </row>
    <row r="206" spans="1:7" ht="15.75" customHeight="1">
      <c r="A206" s="43"/>
      <c r="B206" s="43"/>
      <c r="C206" s="43"/>
      <c r="D206" s="43"/>
      <c r="E206" s="43"/>
      <c r="F206" s="43"/>
      <c r="G206" s="43"/>
    </row>
    <row r="207" spans="1:7" ht="15.75" customHeight="1">
      <c r="A207" s="43"/>
      <c r="B207" s="43"/>
      <c r="C207" s="43"/>
      <c r="D207" s="43"/>
      <c r="E207" s="43"/>
      <c r="F207" s="43"/>
      <c r="G207" s="43"/>
    </row>
    <row r="208" spans="1:7" ht="15.75" customHeight="1">
      <c r="A208" s="43"/>
      <c r="B208" s="43"/>
      <c r="C208" s="43"/>
      <c r="D208" s="43"/>
      <c r="E208" s="43"/>
      <c r="F208" s="43"/>
      <c r="G208" s="43"/>
    </row>
    <row r="209" spans="1:7" ht="15.75" customHeight="1">
      <c r="A209" s="43"/>
      <c r="B209" s="43"/>
      <c r="C209" s="43"/>
      <c r="D209" s="43"/>
      <c r="E209" s="43"/>
      <c r="F209" s="43"/>
      <c r="G209" s="43"/>
    </row>
    <row r="210" spans="1:7" ht="15.75" customHeight="1">
      <c r="A210" s="43"/>
      <c r="B210" s="43"/>
      <c r="C210" s="43"/>
      <c r="D210" s="43"/>
      <c r="E210" s="43"/>
      <c r="F210" s="43"/>
      <c r="G210" s="43"/>
    </row>
    <row r="211" spans="1:7" ht="15.75" customHeight="1">
      <c r="A211" s="43"/>
      <c r="B211" s="43"/>
      <c r="C211" s="43"/>
      <c r="D211" s="43"/>
      <c r="E211" s="43"/>
      <c r="F211" s="43"/>
      <c r="G211" s="43"/>
    </row>
    <row r="212" spans="1:7" ht="15.75" customHeight="1">
      <c r="A212" s="43"/>
      <c r="B212" s="43"/>
      <c r="C212" s="43"/>
      <c r="D212" s="43"/>
      <c r="E212" s="43"/>
      <c r="F212" s="43"/>
      <c r="G212" s="43"/>
    </row>
    <row r="213" spans="1:7" ht="15.75" customHeight="1">
      <c r="A213" s="43"/>
      <c r="B213" s="43"/>
      <c r="C213" s="43"/>
      <c r="D213" s="43"/>
      <c r="E213" s="43"/>
      <c r="F213" s="43"/>
      <c r="G213" s="43"/>
    </row>
    <row r="214" spans="1:7" ht="15.75" customHeight="1">
      <c r="A214" s="43"/>
      <c r="B214" s="43"/>
      <c r="C214" s="43"/>
      <c r="D214" s="43"/>
      <c r="E214" s="43"/>
      <c r="F214" s="43"/>
      <c r="G214" s="43"/>
    </row>
    <row r="215" spans="1:7" ht="15.75" customHeight="1">
      <c r="A215" s="43"/>
      <c r="B215" s="43"/>
      <c r="C215" s="43"/>
      <c r="D215" s="43"/>
      <c r="E215" s="43"/>
      <c r="F215" s="43"/>
      <c r="G215" s="43"/>
    </row>
    <row r="216" spans="1:7" ht="15.75" customHeight="1">
      <c r="A216" s="43"/>
      <c r="B216" s="43"/>
      <c r="C216" s="43"/>
      <c r="D216" s="43"/>
      <c r="E216" s="43"/>
      <c r="F216" s="43"/>
      <c r="G216" s="43"/>
    </row>
    <row r="217" spans="1:7" ht="15.75" customHeight="1">
      <c r="A217" s="43"/>
      <c r="B217" s="43"/>
      <c r="C217" s="43"/>
      <c r="D217" s="43"/>
      <c r="E217" s="43"/>
      <c r="F217" s="43"/>
      <c r="G217" s="43"/>
    </row>
    <row r="218" spans="1:7" ht="15.75" customHeight="1">
      <c r="A218" s="43"/>
      <c r="B218" s="43"/>
      <c r="C218" s="43"/>
      <c r="D218" s="43"/>
      <c r="E218" s="43"/>
      <c r="F218" s="43"/>
      <c r="G218" s="43"/>
    </row>
    <row r="219" spans="1:7" ht="15.75" customHeight="1">
      <c r="A219" s="43"/>
      <c r="B219" s="43"/>
      <c r="C219" s="43"/>
      <c r="D219" s="43"/>
      <c r="E219" s="43"/>
      <c r="F219" s="43"/>
      <c r="G219" s="43"/>
    </row>
    <row r="220" spans="1:7" ht="15.75" customHeight="1">
      <c r="A220" s="43"/>
      <c r="B220" s="43"/>
      <c r="C220" s="43"/>
      <c r="D220" s="43"/>
      <c r="E220" s="43"/>
      <c r="F220" s="43"/>
      <c r="G220" s="43"/>
    </row>
    <row r="221" spans="1:7" ht="15.75" customHeight="1">
      <c r="A221" s="43"/>
      <c r="B221" s="43"/>
      <c r="C221" s="43"/>
      <c r="D221" s="43"/>
      <c r="E221" s="43"/>
      <c r="F221" s="43"/>
      <c r="G221" s="43"/>
    </row>
    <row r="222" spans="1:7" ht="15.75" customHeight="1">
      <c r="A222" s="43"/>
      <c r="B222" s="43"/>
      <c r="C222" s="43"/>
      <c r="D222" s="43"/>
      <c r="E222" s="43"/>
      <c r="F222" s="43"/>
      <c r="G222" s="43"/>
    </row>
    <row r="223" spans="1:7" ht="15.75" customHeight="1">
      <c r="A223" s="43"/>
      <c r="B223" s="43"/>
      <c r="C223" s="43"/>
      <c r="D223" s="43"/>
      <c r="E223" s="43"/>
      <c r="F223" s="43"/>
      <c r="G223" s="43"/>
    </row>
    <row r="224" spans="1:7" ht="15.75" customHeight="1">
      <c r="A224" s="43"/>
      <c r="B224" s="43"/>
      <c r="C224" s="43"/>
      <c r="D224" s="43"/>
      <c r="E224" s="43"/>
      <c r="F224" s="43"/>
      <c r="G224" s="43"/>
    </row>
    <row r="225" spans="1:7" ht="15.75" customHeight="1">
      <c r="A225" s="43"/>
      <c r="B225" s="43"/>
      <c r="C225" s="43"/>
      <c r="D225" s="43"/>
      <c r="E225" s="43"/>
      <c r="F225" s="43"/>
      <c r="G225" s="43"/>
    </row>
    <row r="226" spans="1:7" ht="15.75" customHeight="1">
      <c r="A226" s="43"/>
      <c r="B226" s="43"/>
      <c r="C226" s="43"/>
      <c r="D226" s="43"/>
      <c r="E226" s="43"/>
      <c r="F226" s="43"/>
      <c r="G226" s="43"/>
    </row>
    <row r="227" spans="1:7" ht="15.75" customHeight="1">
      <c r="A227" s="43"/>
      <c r="B227" s="43"/>
      <c r="C227" s="43"/>
      <c r="D227" s="43"/>
      <c r="E227" s="43"/>
      <c r="F227" s="43"/>
      <c r="G227" s="43"/>
    </row>
    <row r="228" spans="1:7" ht="15.75" customHeight="1">
      <c r="A228" s="43"/>
      <c r="B228" s="43"/>
      <c r="C228" s="43"/>
      <c r="D228" s="43"/>
      <c r="E228" s="43"/>
      <c r="F228" s="43"/>
      <c r="G228" s="43"/>
    </row>
    <row r="229" spans="1:7" ht="15.75" customHeight="1">
      <c r="A229" s="43"/>
      <c r="B229" s="43"/>
      <c r="C229" s="43"/>
      <c r="D229" s="43"/>
      <c r="E229" s="43"/>
      <c r="F229" s="43"/>
      <c r="G229" s="43"/>
    </row>
    <row r="230" spans="1:7" ht="15.75" customHeight="1">
      <c r="A230" s="43"/>
      <c r="B230" s="43"/>
      <c r="C230" s="43"/>
      <c r="D230" s="43"/>
      <c r="E230" s="43"/>
      <c r="F230" s="43"/>
      <c r="G230" s="43"/>
    </row>
    <row r="231" spans="1:7" ht="15.75" customHeight="1">
      <c r="A231" s="43"/>
      <c r="B231" s="43"/>
      <c r="C231" s="43"/>
      <c r="D231" s="43"/>
      <c r="E231" s="43"/>
      <c r="F231" s="43"/>
      <c r="G231" s="43"/>
    </row>
    <row r="232" spans="1:7" ht="15.75" customHeight="1">
      <c r="A232" s="43"/>
      <c r="B232" s="43"/>
      <c r="C232" s="43"/>
      <c r="D232" s="43"/>
      <c r="E232" s="43"/>
      <c r="F232" s="43"/>
      <c r="G232" s="43"/>
    </row>
    <row r="233" spans="1:7" ht="15.75" customHeight="1">
      <c r="A233" s="43"/>
      <c r="B233" s="43"/>
      <c r="C233" s="43"/>
      <c r="D233" s="43"/>
      <c r="E233" s="43"/>
      <c r="F233" s="43"/>
      <c r="G233" s="43"/>
    </row>
    <row r="234" spans="1:7" ht="15.75" customHeight="1">
      <c r="A234" s="43"/>
      <c r="B234" s="43"/>
      <c r="C234" s="43"/>
      <c r="D234" s="43"/>
      <c r="E234" s="43"/>
      <c r="F234" s="43"/>
      <c r="G234" s="43"/>
    </row>
    <row r="235" spans="1:7" ht="15.75" customHeight="1">
      <c r="A235" s="43"/>
      <c r="B235" s="43"/>
      <c r="C235" s="43"/>
      <c r="D235" s="43"/>
      <c r="E235" s="43"/>
      <c r="F235" s="43"/>
      <c r="G235" s="43"/>
    </row>
    <row r="236" spans="1:7" ht="15.75" customHeight="1">
      <c r="A236" s="43"/>
      <c r="B236" s="43"/>
      <c r="C236" s="43"/>
      <c r="D236" s="43"/>
      <c r="E236" s="43"/>
      <c r="F236" s="43"/>
      <c r="G236" s="43"/>
    </row>
    <row r="237" spans="1:7" ht="15.75" customHeight="1">
      <c r="A237" s="43"/>
      <c r="B237" s="43"/>
      <c r="C237" s="43"/>
      <c r="D237" s="43"/>
      <c r="E237" s="43"/>
      <c r="F237" s="43"/>
      <c r="G237" s="43"/>
    </row>
    <row r="238" spans="1:7" ht="15.75" customHeight="1">
      <c r="A238" s="43"/>
      <c r="B238" s="43"/>
      <c r="C238" s="43"/>
      <c r="D238" s="43"/>
      <c r="E238" s="43"/>
      <c r="F238" s="43"/>
      <c r="G238" s="43"/>
    </row>
    <row r="239" spans="1:7" ht="15.75" customHeight="1">
      <c r="A239" s="43"/>
      <c r="B239" s="43"/>
      <c r="C239" s="43"/>
      <c r="D239" s="43"/>
      <c r="E239" s="43"/>
      <c r="F239" s="43"/>
      <c r="G239" s="43"/>
    </row>
    <row r="240" spans="1:7" ht="15.75" customHeight="1">
      <c r="A240" s="43"/>
      <c r="B240" s="43"/>
      <c r="C240" s="43"/>
      <c r="D240" s="43"/>
      <c r="E240" s="43"/>
      <c r="F240" s="43"/>
      <c r="G240" s="43"/>
    </row>
    <row r="241" spans="1:7" ht="15.75" customHeight="1">
      <c r="A241" s="43"/>
      <c r="B241" s="43"/>
      <c r="C241" s="43"/>
      <c r="D241" s="43"/>
      <c r="E241" s="43"/>
      <c r="F241" s="43"/>
      <c r="G241" s="43"/>
    </row>
    <row r="242" spans="1:7" ht="15.75" customHeight="1">
      <c r="A242" s="43"/>
      <c r="B242" s="43"/>
      <c r="C242" s="43"/>
      <c r="D242" s="43"/>
      <c r="E242" s="43"/>
      <c r="F242" s="43"/>
      <c r="G242" s="43"/>
    </row>
    <row r="243" spans="1:7" ht="15.75" customHeight="1">
      <c r="A243" s="43"/>
      <c r="B243" s="43"/>
      <c r="C243" s="43"/>
      <c r="D243" s="43"/>
      <c r="E243" s="43"/>
      <c r="F243" s="43"/>
      <c r="G243" s="43"/>
    </row>
    <row r="244" spans="1:7" ht="15.75" customHeight="1">
      <c r="A244" s="43"/>
      <c r="B244" s="43"/>
      <c r="C244" s="43"/>
      <c r="D244" s="43"/>
      <c r="E244" s="43"/>
      <c r="F244" s="43"/>
      <c r="G244" s="43"/>
    </row>
    <row r="245" spans="1:7" ht="15.75" customHeight="1">
      <c r="A245" s="43"/>
      <c r="B245" s="43"/>
      <c r="C245" s="43"/>
      <c r="D245" s="43"/>
      <c r="E245" s="43"/>
      <c r="F245" s="43"/>
      <c r="G245" s="43"/>
    </row>
    <row r="246" spans="1:7" ht="15.75" customHeight="1">
      <c r="A246" s="43"/>
      <c r="B246" s="43"/>
      <c r="C246" s="43"/>
      <c r="D246" s="43"/>
      <c r="E246" s="43"/>
      <c r="F246" s="43"/>
      <c r="G246" s="43"/>
    </row>
    <row r="247" spans="1:7" ht="15.75" customHeight="1">
      <c r="A247" s="43"/>
      <c r="B247" s="43"/>
      <c r="C247" s="43"/>
      <c r="D247" s="43"/>
      <c r="E247" s="43"/>
      <c r="F247" s="43"/>
      <c r="G247" s="43"/>
    </row>
    <row r="248" spans="1:7" ht="15.75" customHeight="1">
      <c r="A248" s="43"/>
      <c r="B248" s="43"/>
      <c r="C248" s="43"/>
      <c r="D248" s="43"/>
      <c r="E248" s="43"/>
      <c r="F248" s="43"/>
      <c r="G248" s="43"/>
    </row>
    <row r="249" spans="1:7" ht="15.75" customHeight="1">
      <c r="A249" s="43"/>
      <c r="B249" s="43"/>
      <c r="C249" s="43"/>
      <c r="D249" s="43"/>
      <c r="E249" s="43"/>
      <c r="F249" s="43"/>
      <c r="G249" s="43"/>
    </row>
    <row r="250" spans="1:7" ht="15.75" customHeight="1">
      <c r="A250" s="43"/>
      <c r="B250" s="43"/>
      <c r="C250" s="43"/>
      <c r="D250" s="43"/>
      <c r="E250" s="43"/>
      <c r="F250" s="43"/>
      <c r="G250" s="43"/>
    </row>
    <row r="251" spans="1:7" ht="15.75" customHeight="1">
      <c r="A251" s="43"/>
      <c r="B251" s="43"/>
      <c r="C251" s="43"/>
      <c r="D251" s="43"/>
      <c r="E251" s="43"/>
      <c r="F251" s="43"/>
      <c r="G251" s="43"/>
    </row>
    <row r="252" spans="1:7" ht="15.75" customHeight="1">
      <c r="A252" s="43"/>
      <c r="B252" s="43"/>
      <c r="C252" s="43"/>
      <c r="D252" s="43"/>
      <c r="E252" s="43"/>
      <c r="F252" s="43"/>
      <c r="G252" s="43"/>
    </row>
    <row r="253" spans="1:7" ht="15.75" customHeight="1">
      <c r="A253" s="43"/>
      <c r="B253" s="43"/>
      <c r="C253" s="43"/>
      <c r="D253" s="43"/>
      <c r="E253" s="43"/>
      <c r="F253" s="43"/>
      <c r="G253" s="43"/>
    </row>
    <row r="254" spans="1:7" ht="15.75" customHeight="1">
      <c r="A254" s="43"/>
      <c r="B254" s="43"/>
      <c r="C254" s="43"/>
      <c r="D254" s="43"/>
      <c r="E254" s="43"/>
      <c r="F254" s="43"/>
      <c r="G254" s="43"/>
    </row>
    <row r="255" spans="1:7" ht="15.75" customHeight="1">
      <c r="A255" s="43"/>
      <c r="B255" s="43"/>
      <c r="C255" s="43"/>
      <c r="D255" s="43"/>
      <c r="E255" s="43"/>
      <c r="F255" s="43"/>
      <c r="G255" s="43"/>
    </row>
    <row r="256" spans="1:7" ht="15.75" customHeight="1">
      <c r="A256" s="43"/>
      <c r="B256" s="43"/>
      <c r="C256" s="43"/>
      <c r="D256" s="43"/>
      <c r="E256" s="43"/>
      <c r="F256" s="43"/>
      <c r="G256" s="43"/>
    </row>
    <row r="257" spans="1:7" ht="15.75" customHeight="1">
      <c r="A257" s="43"/>
      <c r="B257" s="43"/>
      <c r="C257" s="43"/>
      <c r="D257" s="43"/>
      <c r="E257" s="43"/>
      <c r="F257" s="43"/>
      <c r="G257" s="43"/>
    </row>
    <row r="258" spans="1:7" ht="15.75" customHeight="1">
      <c r="A258" s="43"/>
      <c r="B258" s="43"/>
      <c r="C258" s="43"/>
      <c r="D258" s="43"/>
      <c r="E258" s="43"/>
      <c r="F258" s="43"/>
      <c r="G258" s="43"/>
    </row>
    <row r="259" spans="1:7" ht="15.75" customHeight="1">
      <c r="A259" s="43"/>
      <c r="B259" s="43"/>
      <c r="C259" s="43"/>
      <c r="D259" s="43"/>
      <c r="E259" s="43"/>
      <c r="F259" s="43"/>
      <c r="G259" s="43"/>
    </row>
    <row r="260" spans="1:7" ht="15.75" customHeight="1">
      <c r="A260" s="43"/>
      <c r="B260" s="43"/>
      <c r="C260" s="43"/>
      <c r="D260" s="43"/>
      <c r="E260" s="43"/>
      <c r="F260" s="43"/>
      <c r="G260" s="43"/>
    </row>
    <row r="261" spans="1:7" ht="15.75" customHeight="1">
      <c r="A261" s="43"/>
      <c r="B261" s="43"/>
      <c r="C261" s="43"/>
      <c r="D261" s="43"/>
      <c r="E261" s="43"/>
      <c r="F261" s="43"/>
      <c r="G261" s="43"/>
    </row>
    <row r="262" spans="1:7" ht="15.75" customHeight="1">
      <c r="A262" s="43"/>
      <c r="B262" s="43"/>
      <c r="C262" s="43"/>
      <c r="D262" s="43"/>
      <c r="E262" s="43"/>
      <c r="F262" s="43"/>
      <c r="G262" s="43"/>
    </row>
    <row r="263" spans="1:7" ht="15.75" customHeight="1">
      <c r="A263" s="43"/>
      <c r="B263" s="43"/>
      <c r="C263" s="43"/>
      <c r="D263" s="43"/>
      <c r="E263" s="43"/>
      <c r="F263" s="43"/>
      <c r="G263" s="43"/>
    </row>
    <row r="264" spans="1:7" ht="15.75" customHeight="1">
      <c r="A264" s="43"/>
      <c r="B264" s="43"/>
      <c r="C264" s="43"/>
      <c r="D264" s="43"/>
      <c r="E264" s="43"/>
      <c r="F264" s="43"/>
      <c r="G264" s="43"/>
    </row>
    <row r="265" spans="1:7" ht="15.75" customHeight="1">
      <c r="A265" s="43"/>
      <c r="B265" s="43"/>
      <c r="C265" s="43"/>
      <c r="D265" s="43"/>
      <c r="E265" s="43"/>
      <c r="F265" s="43"/>
      <c r="G265" s="43"/>
    </row>
    <row r="266" spans="1:7" ht="15.75" customHeight="1">
      <c r="A266" s="43"/>
      <c r="B266" s="43"/>
      <c r="C266" s="43"/>
      <c r="D266" s="43"/>
      <c r="E266" s="43"/>
      <c r="F266" s="43"/>
      <c r="G266" s="43"/>
    </row>
    <row r="267" spans="1:7" ht="15.75" customHeight="1">
      <c r="A267" s="43"/>
      <c r="B267" s="43"/>
      <c r="C267" s="43"/>
      <c r="D267" s="43"/>
      <c r="E267" s="43"/>
      <c r="F267" s="43"/>
      <c r="G267" s="43"/>
    </row>
    <row r="268" spans="1:7" ht="15.75" customHeight="1">
      <c r="A268" s="43"/>
      <c r="B268" s="43"/>
      <c r="C268" s="43"/>
      <c r="D268" s="43"/>
      <c r="E268" s="43"/>
      <c r="F268" s="43"/>
      <c r="G268" s="43"/>
    </row>
    <row r="269" spans="1:7" ht="15.75" customHeight="1">
      <c r="A269" s="43"/>
      <c r="B269" s="43"/>
      <c r="C269" s="43"/>
      <c r="D269" s="43"/>
      <c r="E269" s="43"/>
      <c r="F269" s="43"/>
      <c r="G269" s="43"/>
    </row>
    <row r="270" spans="1:7" ht="15.75" customHeight="1">
      <c r="A270" s="43"/>
      <c r="B270" s="43"/>
      <c r="C270" s="43"/>
      <c r="D270" s="43"/>
      <c r="E270" s="43"/>
      <c r="F270" s="43"/>
      <c r="G270" s="43"/>
    </row>
    <row r="271" spans="1:7" ht="15.75" customHeight="1">
      <c r="A271" s="43"/>
      <c r="B271" s="43"/>
      <c r="C271" s="43"/>
      <c r="D271" s="43"/>
      <c r="E271" s="43"/>
      <c r="F271" s="43"/>
      <c r="G271" s="43"/>
    </row>
    <row r="272" spans="1:7" ht="15.75" customHeight="1">
      <c r="A272" s="43"/>
      <c r="B272" s="43"/>
      <c r="C272" s="43"/>
      <c r="D272" s="43"/>
      <c r="E272" s="43"/>
      <c r="F272" s="43"/>
      <c r="G272" s="43"/>
    </row>
    <row r="273" spans="1:7" ht="15.75" customHeight="1">
      <c r="A273" s="43"/>
      <c r="B273" s="43"/>
      <c r="C273" s="43"/>
      <c r="D273" s="43"/>
      <c r="E273" s="43"/>
      <c r="F273" s="43"/>
      <c r="G273" s="43"/>
    </row>
    <row r="274" spans="1:7" ht="15.75" customHeight="1">
      <c r="A274" s="43"/>
      <c r="B274" s="43"/>
      <c r="C274" s="43"/>
      <c r="D274" s="43"/>
      <c r="E274" s="43"/>
      <c r="F274" s="43"/>
      <c r="G274" s="43"/>
    </row>
    <row r="275" spans="1:7" ht="15.75" customHeight="1">
      <c r="A275" s="43"/>
      <c r="B275" s="43"/>
      <c r="C275" s="43"/>
      <c r="D275" s="43"/>
      <c r="E275" s="43"/>
      <c r="F275" s="43"/>
      <c r="G275" s="43"/>
    </row>
    <row r="276" spans="1:7" ht="15.75" customHeight="1">
      <c r="A276" s="43"/>
      <c r="B276" s="43"/>
      <c r="C276" s="43"/>
      <c r="D276" s="43"/>
      <c r="E276" s="43"/>
      <c r="F276" s="43"/>
      <c r="G276" s="43"/>
    </row>
    <row r="277" spans="1:7" ht="15.75" customHeight="1">
      <c r="A277" s="43"/>
      <c r="B277" s="43"/>
      <c r="C277" s="43"/>
      <c r="D277" s="43"/>
      <c r="E277" s="43"/>
      <c r="F277" s="43"/>
      <c r="G277" s="43"/>
    </row>
    <row r="278" spans="1:7" ht="15.75" customHeight="1">
      <c r="A278" s="43"/>
      <c r="B278" s="43"/>
      <c r="C278" s="43"/>
      <c r="D278" s="43"/>
      <c r="E278" s="43"/>
      <c r="F278" s="43"/>
      <c r="G278" s="43"/>
    </row>
    <row r="279" spans="1:7" ht="15.75" customHeight="1">
      <c r="A279" s="43"/>
      <c r="B279" s="43"/>
      <c r="C279" s="43"/>
      <c r="D279" s="43"/>
      <c r="E279" s="43"/>
      <c r="F279" s="43"/>
      <c r="G279" s="43"/>
    </row>
    <row r="280" spans="1:7" ht="15.75" customHeight="1">
      <c r="A280" s="43"/>
      <c r="B280" s="43"/>
      <c r="C280" s="43"/>
      <c r="D280" s="43"/>
      <c r="E280" s="43"/>
      <c r="F280" s="43"/>
      <c r="G280" s="43"/>
    </row>
    <row r="281" spans="1:7" ht="15.75" customHeight="1">
      <c r="A281" s="43"/>
      <c r="B281" s="43"/>
      <c r="C281" s="43"/>
      <c r="D281" s="43"/>
      <c r="E281" s="43"/>
      <c r="F281" s="43"/>
      <c r="G281" s="43"/>
    </row>
    <row r="282" spans="1:7" ht="15.75" customHeight="1">
      <c r="A282" s="43"/>
      <c r="B282" s="43"/>
      <c r="C282" s="43"/>
      <c r="D282" s="43"/>
      <c r="E282" s="43"/>
      <c r="F282" s="43"/>
      <c r="G282" s="43"/>
    </row>
    <row r="283" spans="1:7" ht="15.75" customHeight="1">
      <c r="A283" s="43"/>
      <c r="B283" s="43"/>
      <c r="C283" s="43"/>
      <c r="D283" s="43"/>
      <c r="E283" s="43"/>
      <c r="F283" s="43"/>
      <c r="G283" s="43"/>
    </row>
    <row r="284" spans="1:7" ht="15.75" customHeight="1">
      <c r="A284" s="43"/>
      <c r="B284" s="43"/>
      <c r="C284" s="43"/>
      <c r="D284" s="43"/>
      <c r="E284" s="43"/>
      <c r="F284" s="43"/>
      <c r="G284" s="43"/>
    </row>
    <row r="285" spans="1:7" ht="15.75" customHeight="1">
      <c r="A285" s="43"/>
      <c r="B285" s="43"/>
      <c r="C285" s="43"/>
      <c r="D285" s="43"/>
      <c r="E285" s="43"/>
      <c r="F285" s="43"/>
      <c r="G285" s="43"/>
    </row>
    <row r="286" spans="1:7" ht="15.75" customHeight="1">
      <c r="A286" s="43"/>
      <c r="B286" s="43"/>
      <c r="C286" s="43"/>
      <c r="D286" s="43"/>
      <c r="E286" s="43"/>
      <c r="F286" s="43"/>
      <c r="G286" s="43"/>
    </row>
    <row r="287" spans="1:7" ht="15.75" customHeight="1">
      <c r="A287" s="43"/>
      <c r="B287" s="43"/>
      <c r="C287" s="43"/>
      <c r="D287" s="43"/>
      <c r="E287" s="43"/>
      <c r="F287" s="43"/>
      <c r="G287" s="43"/>
    </row>
    <row r="288" spans="1:7" ht="15.75" customHeight="1">
      <c r="A288" s="43"/>
      <c r="B288" s="43"/>
      <c r="C288" s="43"/>
      <c r="D288" s="43"/>
      <c r="E288" s="43"/>
      <c r="F288" s="43"/>
      <c r="G288" s="43"/>
    </row>
    <row r="289" spans="1:7" ht="15.75" customHeight="1">
      <c r="A289" s="43"/>
      <c r="B289" s="43"/>
      <c r="C289" s="43"/>
      <c r="D289" s="43"/>
      <c r="E289" s="43"/>
      <c r="F289" s="43"/>
      <c r="G289" s="43"/>
    </row>
    <row r="290" spans="1:7" ht="15.75" customHeight="1">
      <c r="A290" s="43"/>
      <c r="B290" s="43"/>
      <c r="C290" s="43"/>
      <c r="D290" s="43"/>
      <c r="E290" s="43"/>
      <c r="F290" s="43"/>
      <c r="G290" s="43"/>
    </row>
    <row r="291" spans="1:7" ht="15.75" customHeight="1">
      <c r="A291" s="43"/>
      <c r="B291" s="43"/>
      <c r="C291" s="43"/>
      <c r="D291" s="43"/>
      <c r="E291" s="43"/>
      <c r="F291" s="43"/>
      <c r="G291" s="43"/>
    </row>
    <row r="292" spans="1:7" ht="15.75" customHeight="1">
      <c r="A292" s="43"/>
      <c r="B292" s="43"/>
      <c r="C292" s="43"/>
      <c r="D292" s="43"/>
      <c r="E292" s="43"/>
      <c r="F292" s="43"/>
      <c r="G292" s="43"/>
    </row>
    <row r="293" spans="1:7" ht="15.75" customHeight="1">
      <c r="A293" s="43"/>
      <c r="B293" s="43"/>
      <c r="C293" s="43"/>
      <c r="D293" s="43"/>
      <c r="E293" s="43"/>
      <c r="F293" s="43"/>
      <c r="G293" s="43"/>
    </row>
    <row r="294" spans="1:7" ht="15.75" customHeight="1">
      <c r="A294" s="43"/>
      <c r="B294" s="43"/>
      <c r="C294" s="43"/>
      <c r="D294" s="43"/>
      <c r="E294" s="43"/>
      <c r="F294" s="43"/>
      <c r="G294" s="43"/>
    </row>
    <row r="295" spans="1:7" ht="15.75" customHeight="1">
      <c r="A295" s="43"/>
      <c r="B295" s="43"/>
      <c r="C295" s="43"/>
      <c r="D295" s="43"/>
      <c r="E295" s="43"/>
      <c r="F295" s="43"/>
      <c r="G295" s="43"/>
    </row>
    <row r="296" spans="1:7" ht="15.75" customHeight="1">
      <c r="A296" s="43"/>
      <c r="B296" s="43"/>
      <c r="C296" s="43"/>
      <c r="D296" s="43"/>
      <c r="E296" s="43"/>
      <c r="F296" s="43"/>
      <c r="G296" s="43"/>
    </row>
    <row r="297" spans="1:7" ht="15.75" customHeight="1">
      <c r="A297" s="43"/>
      <c r="B297" s="43"/>
      <c r="C297" s="43"/>
      <c r="D297" s="43"/>
      <c r="E297" s="43"/>
      <c r="F297" s="43"/>
      <c r="G297" s="43"/>
    </row>
    <row r="298" spans="1:7" ht="15.75" customHeight="1">
      <c r="A298" s="43"/>
      <c r="B298" s="43"/>
      <c r="C298" s="43"/>
      <c r="D298" s="43"/>
      <c r="E298" s="43"/>
      <c r="F298" s="43"/>
      <c r="G298" s="43"/>
    </row>
    <row r="299" spans="1:7" ht="15.75" customHeight="1">
      <c r="A299" s="43"/>
      <c r="B299" s="43"/>
      <c r="C299" s="43"/>
      <c r="D299" s="43"/>
      <c r="E299" s="43"/>
      <c r="F299" s="43"/>
      <c r="G299" s="43"/>
    </row>
    <row r="300" spans="1:7" ht="15.75" customHeight="1">
      <c r="A300" s="43"/>
      <c r="B300" s="43"/>
      <c r="C300" s="43"/>
      <c r="D300" s="43"/>
      <c r="E300" s="43"/>
      <c r="F300" s="43"/>
      <c r="G300" s="43"/>
    </row>
    <row r="301" spans="1:7" ht="15.75" customHeight="1">
      <c r="A301" s="43"/>
      <c r="B301" s="43"/>
      <c r="C301" s="43"/>
      <c r="D301" s="43"/>
      <c r="E301" s="43"/>
      <c r="F301" s="43"/>
      <c r="G301" s="43"/>
    </row>
    <row r="302" spans="1:7" ht="15.75" customHeight="1">
      <c r="A302" s="43"/>
      <c r="B302" s="43"/>
      <c r="C302" s="43"/>
      <c r="D302" s="43"/>
      <c r="E302" s="43"/>
      <c r="F302" s="43"/>
      <c r="G302" s="43"/>
    </row>
    <row r="303" spans="1:7" ht="15.75" customHeight="1">
      <c r="A303" s="43"/>
      <c r="B303" s="43"/>
      <c r="C303" s="43"/>
      <c r="D303" s="43"/>
      <c r="E303" s="43"/>
      <c r="F303" s="43"/>
      <c r="G303" s="43"/>
    </row>
    <row r="304" spans="1:7" ht="15.75" customHeight="1">
      <c r="A304" s="43"/>
      <c r="B304" s="43"/>
      <c r="C304" s="43"/>
      <c r="D304" s="43"/>
      <c r="E304" s="43"/>
      <c r="F304" s="43"/>
      <c r="G304" s="43"/>
    </row>
    <row r="305" spans="1:7" ht="15.75" customHeight="1">
      <c r="A305" s="43"/>
      <c r="B305" s="43"/>
      <c r="C305" s="43"/>
      <c r="D305" s="43"/>
      <c r="E305" s="43"/>
      <c r="F305" s="43"/>
      <c r="G305" s="43"/>
    </row>
    <row r="306" spans="1:7" ht="15.75" customHeight="1">
      <c r="A306" s="43"/>
      <c r="B306" s="43"/>
      <c r="C306" s="43"/>
      <c r="D306" s="43"/>
      <c r="E306" s="43"/>
      <c r="F306" s="43"/>
      <c r="G306" s="43"/>
    </row>
    <row r="307" spans="1:7" ht="15.75" customHeight="1">
      <c r="A307" s="43"/>
      <c r="B307" s="43"/>
      <c r="C307" s="43"/>
      <c r="D307" s="43"/>
      <c r="E307" s="43"/>
      <c r="F307" s="43"/>
      <c r="G307" s="43"/>
    </row>
    <row r="308" spans="1:7" ht="15.75" customHeight="1">
      <c r="A308" s="43"/>
      <c r="B308" s="43"/>
      <c r="C308" s="43"/>
      <c r="D308" s="43"/>
      <c r="E308" s="43"/>
      <c r="F308" s="43"/>
      <c r="G308" s="43"/>
    </row>
    <row r="309" spans="1:7" ht="15.75" customHeight="1">
      <c r="A309" s="43"/>
      <c r="B309" s="43"/>
      <c r="C309" s="43"/>
      <c r="D309" s="43"/>
      <c r="E309" s="43"/>
      <c r="F309" s="43"/>
      <c r="G309" s="43"/>
    </row>
    <row r="310" spans="1:7" ht="15.75" customHeight="1">
      <c r="A310" s="43"/>
      <c r="B310" s="43"/>
      <c r="C310" s="43"/>
      <c r="D310" s="43"/>
      <c r="E310" s="43"/>
      <c r="F310" s="43"/>
      <c r="G310" s="43"/>
    </row>
    <row r="311" spans="1:7" ht="15.75" customHeight="1">
      <c r="A311" s="43"/>
      <c r="B311" s="43"/>
      <c r="C311" s="43"/>
      <c r="D311" s="43"/>
      <c r="E311" s="43"/>
      <c r="F311" s="43"/>
      <c r="G311" s="43"/>
    </row>
    <row r="312" spans="1:7" ht="15.75" customHeight="1">
      <c r="A312" s="43"/>
      <c r="B312" s="43"/>
      <c r="C312" s="43"/>
      <c r="D312" s="43"/>
      <c r="E312" s="43"/>
      <c r="F312" s="43"/>
      <c r="G312" s="43"/>
    </row>
    <row r="313" spans="1:7" ht="15.75" customHeight="1">
      <c r="A313" s="43"/>
      <c r="B313" s="43"/>
      <c r="C313" s="43"/>
      <c r="D313" s="43"/>
      <c r="E313" s="43"/>
      <c r="F313" s="43"/>
      <c r="G313" s="43"/>
    </row>
    <row r="314" spans="1:7" ht="15.75" customHeight="1">
      <c r="A314" s="43"/>
      <c r="B314" s="43"/>
      <c r="C314" s="43"/>
      <c r="D314" s="43"/>
      <c r="E314" s="43"/>
      <c r="F314" s="43"/>
      <c r="G314" s="43"/>
    </row>
    <row r="315" spans="1:7" ht="15.75" customHeight="1">
      <c r="A315" s="43"/>
      <c r="B315" s="43"/>
      <c r="C315" s="43"/>
      <c r="D315" s="43"/>
      <c r="E315" s="43"/>
      <c r="F315" s="43"/>
      <c r="G315" s="43"/>
    </row>
    <row r="316" spans="1:7" ht="15.75" customHeight="1">
      <c r="A316" s="43"/>
      <c r="B316" s="43"/>
      <c r="C316" s="43"/>
      <c r="D316" s="43"/>
      <c r="E316" s="43"/>
      <c r="F316" s="43"/>
      <c r="G316" s="43"/>
    </row>
    <row r="317" spans="1:7" ht="15.75" customHeight="1">
      <c r="A317" s="43"/>
      <c r="B317" s="43"/>
      <c r="C317" s="43"/>
      <c r="D317" s="43"/>
      <c r="E317" s="43"/>
      <c r="F317" s="43"/>
      <c r="G317" s="43"/>
    </row>
    <row r="318" spans="1:7" ht="15.75" customHeight="1">
      <c r="A318" s="43"/>
      <c r="B318" s="43"/>
      <c r="C318" s="43"/>
      <c r="D318" s="43"/>
      <c r="E318" s="43"/>
      <c r="F318" s="43"/>
      <c r="G318" s="43"/>
    </row>
    <row r="319" spans="1:7" ht="15.75" customHeight="1">
      <c r="A319" s="43"/>
      <c r="B319" s="43"/>
      <c r="C319" s="43"/>
      <c r="D319" s="43"/>
      <c r="E319" s="43"/>
      <c r="F319" s="43"/>
      <c r="G319" s="43"/>
    </row>
    <row r="320" spans="1:7" ht="15.75" customHeight="1">
      <c r="A320" s="43"/>
      <c r="B320" s="43"/>
      <c r="C320" s="43"/>
      <c r="D320" s="43"/>
      <c r="E320" s="43"/>
      <c r="F320" s="43"/>
      <c r="G320" s="43"/>
    </row>
    <row r="321" spans="1:7" ht="15.75" customHeight="1">
      <c r="A321" s="43"/>
      <c r="B321" s="43"/>
      <c r="C321" s="43"/>
      <c r="D321" s="43"/>
      <c r="E321" s="43"/>
      <c r="F321" s="43"/>
      <c r="G321" s="43"/>
    </row>
    <row r="322" spans="1:7" ht="15.75" customHeight="1">
      <c r="A322" s="43"/>
      <c r="B322" s="43"/>
      <c r="C322" s="43"/>
      <c r="D322" s="43"/>
      <c r="E322" s="43"/>
      <c r="F322" s="43"/>
      <c r="G322" s="43"/>
    </row>
    <row r="323" spans="1:7" ht="15.75" customHeight="1">
      <c r="A323" s="43"/>
      <c r="B323" s="43"/>
      <c r="C323" s="43"/>
      <c r="D323" s="43"/>
      <c r="E323" s="43"/>
      <c r="F323" s="43"/>
      <c r="G323" s="43"/>
    </row>
    <row r="324" spans="1:7" ht="15.75" customHeight="1">
      <c r="A324" s="43"/>
      <c r="B324" s="43"/>
      <c r="C324" s="43"/>
      <c r="D324" s="43"/>
      <c r="E324" s="43"/>
      <c r="F324" s="43"/>
      <c r="G324" s="43"/>
    </row>
    <row r="325" spans="1:7" ht="15.75" customHeight="1">
      <c r="A325" s="43"/>
      <c r="B325" s="43"/>
      <c r="C325" s="43"/>
      <c r="D325" s="43"/>
      <c r="E325" s="43"/>
      <c r="F325" s="43"/>
      <c r="G325" s="43"/>
    </row>
    <row r="326" spans="1:7" ht="15.75" customHeight="1">
      <c r="A326" s="43"/>
      <c r="B326" s="43"/>
      <c r="C326" s="43"/>
      <c r="D326" s="43"/>
      <c r="E326" s="43"/>
      <c r="F326" s="43"/>
      <c r="G326" s="43"/>
    </row>
    <row r="327" spans="1:7" ht="15.75" customHeight="1">
      <c r="A327" s="43"/>
      <c r="B327" s="43"/>
      <c r="C327" s="43"/>
      <c r="D327" s="43"/>
      <c r="E327" s="43"/>
      <c r="F327" s="43"/>
      <c r="G327" s="43"/>
    </row>
    <row r="328" spans="1:7" ht="15.75" customHeight="1">
      <c r="A328" s="43"/>
      <c r="B328" s="43"/>
      <c r="C328" s="43"/>
      <c r="D328" s="43"/>
      <c r="E328" s="43"/>
      <c r="F328" s="43"/>
      <c r="G328" s="43"/>
    </row>
    <row r="329" spans="1:7" ht="15.75" customHeight="1">
      <c r="A329" s="43"/>
      <c r="B329" s="43"/>
      <c r="C329" s="43"/>
      <c r="D329" s="43"/>
      <c r="E329" s="43"/>
      <c r="F329" s="43"/>
      <c r="G329" s="43"/>
    </row>
    <row r="330" spans="1:7" ht="15.75" customHeight="1">
      <c r="A330" s="43"/>
      <c r="B330" s="43"/>
      <c r="C330" s="43"/>
      <c r="D330" s="43"/>
      <c r="E330" s="43"/>
      <c r="F330" s="43"/>
      <c r="G330" s="43"/>
    </row>
    <row r="331" spans="1:7" ht="15.75" customHeight="1">
      <c r="A331" s="43"/>
      <c r="B331" s="43"/>
      <c r="C331" s="43"/>
      <c r="D331" s="43"/>
      <c r="E331" s="43"/>
      <c r="F331" s="43"/>
      <c r="G331" s="43"/>
    </row>
    <row r="332" spans="1:7" ht="15.75" customHeight="1">
      <c r="A332" s="43"/>
      <c r="B332" s="43"/>
      <c r="C332" s="43"/>
      <c r="D332" s="43"/>
      <c r="E332" s="43"/>
      <c r="F332" s="43"/>
      <c r="G332" s="43"/>
    </row>
    <row r="333" spans="1:7" ht="15.75" customHeight="1">
      <c r="A333" s="43"/>
      <c r="B333" s="43"/>
      <c r="C333" s="43"/>
      <c r="D333" s="43"/>
      <c r="E333" s="43"/>
      <c r="F333" s="43"/>
      <c r="G333" s="43"/>
    </row>
    <row r="334" spans="1:7" ht="15.75" customHeight="1">
      <c r="A334" s="43"/>
      <c r="B334" s="43"/>
      <c r="C334" s="43"/>
      <c r="D334" s="43"/>
      <c r="E334" s="43"/>
      <c r="F334" s="43"/>
      <c r="G334" s="43"/>
    </row>
    <row r="335" spans="1:7" ht="15.75" customHeight="1">
      <c r="A335" s="43"/>
      <c r="B335" s="43"/>
      <c r="C335" s="43"/>
      <c r="D335" s="43"/>
      <c r="E335" s="43"/>
      <c r="F335" s="43"/>
      <c r="G335" s="43"/>
    </row>
    <row r="336" spans="1:7" ht="15.75" customHeight="1">
      <c r="A336" s="43"/>
      <c r="B336" s="43"/>
      <c r="C336" s="43"/>
      <c r="D336" s="43"/>
      <c r="E336" s="43"/>
      <c r="F336" s="43"/>
      <c r="G336" s="43"/>
    </row>
    <row r="337" spans="1:7" ht="15.75" customHeight="1">
      <c r="A337" s="43"/>
      <c r="B337" s="43"/>
      <c r="C337" s="43"/>
      <c r="D337" s="43"/>
      <c r="E337" s="43"/>
      <c r="F337" s="43"/>
      <c r="G337" s="43"/>
    </row>
    <row r="338" spans="1:7" ht="15.75" customHeight="1">
      <c r="A338" s="43"/>
      <c r="B338" s="43"/>
      <c r="C338" s="43"/>
      <c r="D338" s="43"/>
      <c r="E338" s="43"/>
      <c r="F338" s="43"/>
      <c r="G338" s="43"/>
    </row>
    <row r="339" spans="1:7" ht="15.75" customHeight="1">
      <c r="A339" s="43"/>
      <c r="B339" s="43"/>
      <c r="C339" s="43"/>
      <c r="D339" s="43"/>
      <c r="E339" s="43"/>
      <c r="F339" s="43"/>
      <c r="G339" s="43"/>
    </row>
    <row r="340" spans="1:7" ht="15.75" customHeight="1">
      <c r="A340" s="43"/>
      <c r="B340" s="43"/>
      <c r="C340" s="43"/>
      <c r="D340" s="43"/>
      <c r="E340" s="43"/>
      <c r="F340" s="43"/>
      <c r="G340" s="43"/>
    </row>
    <row r="341" spans="1:7" ht="15.75" customHeight="1">
      <c r="A341" s="43"/>
      <c r="B341" s="43"/>
      <c r="C341" s="43"/>
      <c r="D341" s="43"/>
      <c r="E341" s="43"/>
      <c r="F341" s="43"/>
      <c r="G341" s="43"/>
    </row>
    <row r="342" spans="1:7" ht="15.75" customHeight="1">
      <c r="A342" s="43"/>
      <c r="B342" s="43"/>
      <c r="C342" s="43"/>
      <c r="D342" s="43"/>
      <c r="E342" s="43"/>
      <c r="F342" s="43"/>
      <c r="G342" s="43"/>
    </row>
    <row r="343" spans="1:7" ht="15.75" customHeight="1">
      <c r="A343" s="43"/>
      <c r="B343" s="43"/>
      <c r="C343" s="43"/>
      <c r="D343" s="43"/>
      <c r="E343" s="43"/>
      <c r="F343" s="43"/>
      <c r="G343" s="43"/>
    </row>
    <row r="344" spans="1:7" ht="15.75" customHeight="1">
      <c r="A344" s="43"/>
      <c r="B344" s="43"/>
      <c r="C344" s="43"/>
      <c r="D344" s="43"/>
      <c r="E344" s="43"/>
      <c r="F344" s="43"/>
      <c r="G344" s="43"/>
    </row>
    <row r="345" spans="1:7" ht="15.75" customHeight="1">
      <c r="A345" s="43"/>
      <c r="B345" s="43"/>
      <c r="C345" s="43"/>
      <c r="D345" s="43"/>
      <c r="E345" s="43"/>
      <c r="F345" s="43"/>
      <c r="G345" s="43"/>
    </row>
    <row r="346" spans="1:7" ht="15.75" customHeight="1">
      <c r="A346" s="43"/>
      <c r="B346" s="43"/>
      <c r="C346" s="43"/>
      <c r="D346" s="43"/>
      <c r="E346" s="43"/>
      <c r="F346" s="43"/>
      <c r="G346" s="43"/>
    </row>
    <row r="347" spans="1:7" ht="15.75" customHeight="1">
      <c r="A347" s="43"/>
      <c r="B347" s="43"/>
      <c r="C347" s="43"/>
      <c r="D347" s="43"/>
      <c r="E347" s="43"/>
      <c r="F347" s="43"/>
      <c r="G347" s="43"/>
    </row>
    <row r="348" spans="1:7" ht="15.75" customHeight="1">
      <c r="A348" s="43"/>
      <c r="B348" s="43"/>
      <c r="C348" s="43"/>
      <c r="D348" s="43"/>
      <c r="E348" s="43"/>
      <c r="F348" s="43"/>
      <c r="G348" s="43"/>
    </row>
    <row r="349" spans="1:7" ht="15.75" customHeight="1">
      <c r="A349" s="43"/>
      <c r="B349" s="43"/>
      <c r="C349" s="43"/>
      <c r="D349" s="43"/>
      <c r="E349" s="43"/>
      <c r="F349" s="43"/>
      <c r="G349" s="43"/>
    </row>
    <row r="350" spans="1:7" ht="15.75" customHeight="1">
      <c r="A350" s="43"/>
      <c r="B350" s="43"/>
      <c r="C350" s="43"/>
      <c r="D350" s="43"/>
      <c r="E350" s="43"/>
      <c r="F350" s="43"/>
      <c r="G350" s="43"/>
    </row>
    <row r="351" spans="1:7" ht="15.75" customHeight="1">
      <c r="A351" s="43"/>
      <c r="B351" s="43"/>
      <c r="C351" s="43"/>
      <c r="D351" s="43"/>
      <c r="E351" s="43"/>
      <c r="F351" s="43"/>
      <c r="G351" s="43"/>
    </row>
    <row r="352" spans="1:7" ht="15.75" customHeight="1">
      <c r="A352" s="43"/>
      <c r="B352" s="43"/>
      <c r="C352" s="43"/>
      <c r="D352" s="43"/>
      <c r="E352" s="43"/>
      <c r="F352" s="43"/>
      <c r="G352" s="43"/>
    </row>
    <row r="353" spans="1:7" ht="15.75" customHeight="1">
      <c r="A353" s="43"/>
      <c r="B353" s="43"/>
      <c r="C353" s="43"/>
      <c r="D353" s="43"/>
      <c r="E353" s="43"/>
      <c r="F353" s="43"/>
      <c r="G353" s="43"/>
    </row>
    <row r="354" spans="1:7" ht="15.75" customHeight="1">
      <c r="A354" s="43"/>
      <c r="B354" s="43"/>
      <c r="C354" s="43"/>
      <c r="D354" s="43"/>
      <c r="E354" s="43"/>
      <c r="F354" s="43"/>
      <c r="G354" s="43"/>
    </row>
    <row r="355" spans="1:7" ht="15.75" customHeight="1">
      <c r="A355" s="43"/>
      <c r="B355" s="43"/>
      <c r="C355" s="43"/>
      <c r="D355" s="43"/>
      <c r="E355" s="43"/>
      <c r="F355" s="43"/>
      <c r="G355" s="43"/>
    </row>
    <row r="356" spans="1:7" ht="15.75" customHeight="1">
      <c r="A356" s="43"/>
      <c r="B356" s="43"/>
      <c r="C356" s="43"/>
      <c r="D356" s="43"/>
      <c r="E356" s="43"/>
      <c r="F356" s="43"/>
      <c r="G356" s="43"/>
    </row>
    <row r="357" spans="1:7" ht="15.75" customHeight="1">
      <c r="A357" s="43"/>
      <c r="B357" s="43"/>
      <c r="C357" s="43"/>
      <c r="D357" s="43"/>
      <c r="E357" s="43"/>
      <c r="F357" s="43"/>
      <c r="G357" s="43"/>
    </row>
    <row r="358" spans="1:7" ht="15.75" customHeight="1">
      <c r="A358" s="43"/>
      <c r="B358" s="43"/>
      <c r="C358" s="43"/>
      <c r="D358" s="43"/>
      <c r="E358" s="43"/>
      <c r="F358" s="43"/>
      <c r="G358" s="43"/>
    </row>
    <row r="359" spans="1:7" ht="15.75" customHeight="1">
      <c r="A359" s="43"/>
      <c r="B359" s="43"/>
      <c r="C359" s="43"/>
      <c r="D359" s="43"/>
      <c r="E359" s="43"/>
      <c r="F359" s="43"/>
      <c r="G359" s="43"/>
    </row>
    <row r="360" spans="1:7" ht="15.75" customHeight="1">
      <c r="A360" s="43"/>
      <c r="B360" s="43"/>
      <c r="C360" s="43"/>
      <c r="D360" s="43"/>
      <c r="E360" s="43"/>
      <c r="F360" s="43"/>
      <c r="G360" s="43"/>
    </row>
    <row r="361" spans="1:7" ht="15.75" customHeight="1">
      <c r="A361" s="43"/>
      <c r="B361" s="43"/>
      <c r="C361" s="43"/>
      <c r="D361" s="43"/>
      <c r="E361" s="43"/>
      <c r="F361" s="43"/>
      <c r="G361" s="43"/>
    </row>
    <row r="362" spans="1:7" ht="15.75" customHeight="1">
      <c r="A362" s="43"/>
      <c r="B362" s="43"/>
      <c r="C362" s="43"/>
      <c r="D362" s="43"/>
      <c r="E362" s="43"/>
      <c r="F362" s="43"/>
      <c r="G362" s="43"/>
    </row>
    <row r="363" spans="1:7" ht="15.75" customHeight="1">
      <c r="A363" s="43"/>
      <c r="B363" s="43"/>
      <c r="C363" s="43"/>
      <c r="D363" s="43"/>
      <c r="E363" s="43"/>
      <c r="F363" s="43"/>
      <c r="G363" s="43"/>
    </row>
    <row r="364" spans="1:7" ht="15.75" customHeight="1">
      <c r="A364" s="43"/>
      <c r="B364" s="43"/>
      <c r="C364" s="43"/>
      <c r="D364" s="43"/>
      <c r="E364" s="43"/>
      <c r="F364" s="43"/>
      <c r="G364" s="43"/>
    </row>
    <row r="365" spans="1:7" ht="15.75" customHeight="1">
      <c r="A365" s="43"/>
      <c r="B365" s="43"/>
      <c r="C365" s="43"/>
      <c r="D365" s="43"/>
      <c r="E365" s="43"/>
      <c r="F365" s="43"/>
      <c r="G365" s="43"/>
    </row>
    <row r="366" spans="1:7" ht="15.75" customHeight="1">
      <c r="A366" s="43"/>
      <c r="B366" s="43"/>
      <c r="C366" s="43"/>
      <c r="D366" s="43"/>
      <c r="E366" s="43"/>
      <c r="F366" s="43"/>
      <c r="G366" s="43"/>
    </row>
    <row r="367" spans="1:7" ht="15.75" customHeight="1">
      <c r="A367" s="43"/>
      <c r="B367" s="43"/>
      <c r="C367" s="43"/>
      <c r="D367" s="43"/>
      <c r="E367" s="43"/>
      <c r="F367" s="43"/>
      <c r="G367" s="43"/>
    </row>
    <row r="368" spans="1:7" ht="15.75" customHeight="1">
      <c r="A368" s="43"/>
      <c r="B368" s="43"/>
      <c r="C368" s="43"/>
      <c r="D368" s="43"/>
      <c r="E368" s="43"/>
      <c r="F368" s="43"/>
      <c r="G368" s="43"/>
    </row>
    <row r="369" spans="1:7" ht="15.75" customHeight="1">
      <c r="A369" s="43"/>
      <c r="B369" s="43"/>
      <c r="C369" s="43"/>
      <c r="D369" s="43"/>
      <c r="E369" s="43"/>
      <c r="F369" s="43"/>
      <c r="G369" s="43"/>
    </row>
    <row r="370" spans="1:7" ht="15.75" customHeight="1">
      <c r="A370" s="43"/>
      <c r="B370" s="43"/>
      <c r="C370" s="43"/>
      <c r="D370" s="43"/>
      <c r="E370" s="43"/>
      <c r="F370" s="43"/>
      <c r="G370" s="43"/>
    </row>
    <row r="371" spans="1:7" ht="15.75" customHeight="1">
      <c r="A371" s="43"/>
      <c r="B371" s="43"/>
      <c r="C371" s="43"/>
      <c r="D371" s="43"/>
      <c r="E371" s="43"/>
      <c r="F371" s="43"/>
      <c r="G371" s="43"/>
    </row>
    <row r="372" spans="1:7" ht="15.75" customHeight="1">
      <c r="A372" s="43"/>
      <c r="B372" s="43"/>
      <c r="C372" s="43"/>
      <c r="D372" s="43"/>
      <c r="E372" s="43"/>
      <c r="F372" s="43"/>
      <c r="G372" s="43"/>
    </row>
    <row r="373" spans="1:7" ht="15.75" customHeight="1">
      <c r="A373" s="43"/>
      <c r="B373" s="43"/>
      <c r="C373" s="43"/>
      <c r="D373" s="43"/>
      <c r="E373" s="43"/>
      <c r="F373" s="43"/>
      <c r="G373" s="43"/>
    </row>
    <row r="374" spans="1:7" ht="15.75" customHeight="1">
      <c r="A374" s="43"/>
      <c r="B374" s="43"/>
      <c r="C374" s="43"/>
      <c r="D374" s="43"/>
      <c r="E374" s="43"/>
      <c r="F374" s="43"/>
      <c r="G374" s="43"/>
    </row>
    <row r="375" spans="1:7" ht="15.75" customHeight="1">
      <c r="A375" s="43"/>
      <c r="B375" s="43"/>
      <c r="C375" s="43"/>
      <c r="D375" s="43"/>
      <c r="E375" s="43"/>
      <c r="F375" s="43"/>
      <c r="G375" s="43"/>
    </row>
    <row r="376" spans="1:7" ht="15.75" customHeight="1">
      <c r="A376" s="43"/>
      <c r="B376" s="43"/>
      <c r="C376" s="43"/>
      <c r="D376" s="43"/>
      <c r="E376" s="43"/>
      <c r="F376" s="43"/>
      <c r="G376" s="43"/>
    </row>
    <row r="377" spans="1:7" ht="15.75" customHeight="1">
      <c r="A377" s="43"/>
      <c r="B377" s="43"/>
      <c r="C377" s="43"/>
      <c r="D377" s="43"/>
      <c r="E377" s="43"/>
      <c r="F377" s="43"/>
      <c r="G377" s="43"/>
    </row>
    <row r="378" spans="1:7" ht="15.75" customHeight="1">
      <c r="A378" s="43"/>
      <c r="B378" s="43"/>
      <c r="C378" s="43"/>
      <c r="D378" s="43"/>
      <c r="E378" s="43"/>
      <c r="F378" s="43"/>
      <c r="G378" s="43"/>
    </row>
    <row r="379" spans="1:7" ht="15.75" customHeight="1">
      <c r="A379" s="43"/>
      <c r="B379" s="43"/>
      <c r="C379" s="43"/>
      <c r="D379" s="43"/>
      <c r="E379" s="43"/>
      <c r="F379" s="43"/>
      <c r="G379" s="43"/>
    </row>
    <row r="380" spans="1:7" ht="15.75" customHeight="1">
      <c r="A380" s="43"/>
      <c r="B380" s="43"/>
      <c r="C380" s="43"/>
      <c r="D380" s="43"/>
      <c r="E380" s="43"/>
      <c r="F380" s="43"/>
      <c r="G380" s="43"/>
    </row>
    <row r="381" spans="1:7" ht="15.75" customHeight="1">
      <c r="A381" s="43"/>
      <c r="B381" s="43"/>
      <c r="C381" s="43"/>
      <c r="D381" s="43"/>
      <c r="E381" s="43"/>
      <c r="F381" s="43"/>
      <c r="G381" s="43"/>
    </row>
    <row r="382" spans="1:7" ht="15.75" customHeight="1">
      <c r="A382" s="43"/>
      <c r="B382" s="43"/>
      <c r="C382" s="43"/>
      <c r="D382" s="43"/>
      <c r="E382" s="43"/>
      <c r="F382" s="43"/>
      <c r="G382" s="43"/>
    </row>
    <row r="383" spans="1:7" ht="15.75" customHeight="1">
      <c r="A383" s="43"/>
      <c r="B383" s="43"/>
      <c r="C383" s="43"/>
      <c r="D383" s="43"/>
      <c r="E383" s="43"/>
      <c r="F383" s="43"/>
      <c r="G383" s="43"/>
    </row>
    <row r="384" spans="1:7" ht="15.75" customHeight="1">
      <c r="A384" s="43"/>
      <c r="B384" s="43"/>
      <c r="C384" s="43"/>
      <c r="D384" s="43"/>
      <c r="E384" s="43"/>
      <c r="F384" s="43"/>
      <c r="G384" s="43"/>
    </row>
    <row r="385" spans="1:7" ht="15.75" customHeight="1">
      <c r="A385" s="43"/>
      <c r="B385" s="43"/>
      <c r="C385" s="43"/>
      <c r="D385" s="43"/>
      <c r="E385" s="43"/>
      <c r="F385" s="43"/>
      <c r="G385" s="43"/>
    </row>
    <row r="386" spans="1:7" ht="15.75" customHeight="1">
      <c r="A386" s="43"/>
      <c r="B386" s="43"/>
      <c r="C386" s="43"/>
      <c r="D386" s="43"/>
      <c r="E386" s="43"/>
      <c r="F386" s="43"/>
      <c r="G386" s="43"/>
    </row>
    <row r="387" spans="1:7" ht="15.75" customHeight="1">
      <c r="A387" s="43"/>
      <c r="B387" s="43"/>
      <c r="C387" s="43"/>
      <c r="D387" s="43"/>
      <c r="E387" s="43"/>
      <c r="F387" s="43"/>
      <c r="G387" s="43"/>
    </row>
    <row r="388" spans="1:7" ht="15.75" customHeight="1">
      <c r="A388" s="43"/>
      <c r="B388" s="43"/>
      <c r="C388" s="43"/>
      <c r="D388" s="43"/>
      <c r="E388" s="43"/>
      <c r="F388" s="43"/>
      <c r="G388" s="43"/>
    </row>
    <row r="389" spans="1:7" ht="15.75" customHeight="1">
      <c r="A389" s="43"/>
      <c r="B389" s="43"/>
      <c r="C389" s="43"/>
      <c r="D389" s="43"/>
      <c r="E389" s="43"/>
      <c r="F389" s="43"/>
      <c r="G389" s="43"/>
    </row>
    <row r="390" spans="1:7" ht="15.75" customHeight="1">
      <c r="A390" s="43"/>
      <c r="B390" s="43"/>
      <c r="C390" s="43"/>
      <c r="D390" s="43"/>
      <c r="E390" s="43"/>
      <c r="F390" s="43"/>
      <c r="G390" s="43"/>
    </row>
    <row r="391" spans="1:7" ht="15.75" customHeight="1">
      <c r="A391" s="43"/>
      <c r="B391" s="43"/>
      <c r="C391" s="43"/>
      <c r="D391" s="43"/>
      <c r="E391" s="43"/>
      <c r="F391" s="43"/>
      <c r="G391" s="43"/>
    </row>
    <row r="392" spans="1:7" ht="15.75" customHeight="1">
      <c r="A392" s="43"/>
      <c r="B392" s="43"/>
      <c r="C392" s="43"/>
      <c r="D392" s="43"/>
      <c r="E392" s="43"/>
      <c r="F392" s="43"/>
      <c r="G392" s="43"/>
    </row>
    <row r="393" spans="1:7" ht="15.75" customHeight="1">
      <c r="A393" s="43"/>
      <c r="B393" s="43"/>
      <c r="C393" s="43"/>
      <c r="D393" s="43"/>
      <c r="E393" s="43"/>
      <c r="F393" s="43"/>
      <c r="G393" s="43"/>
    </row>
    <row r="394" spans="1:7" ht="15.75" customHeight="1">
      <c r="A394" s="43"/>
      <c r="B394" s="43"/>
      <c r="C394" s="43"/>
      <c r="D394" s="43"/>
      <c r="E394" s="43"/>
      <c r="F394" s="43"/>
      <c r="G394" s="43"/>
    </row>
    <row r="395" spans="1:7" ht="15.75" customHeight="1">
      <c r="A395" s="43"/>
      <c r="B395" s="43"/>
      <c r="C395" s="43"/>
      <c r="D395" s="43"/>
      <c r="E395" s="43"/>
      <c r="F395" s="43"/>
      <c r="G395" s="43"/>
    </row>
    <row r="396" spans="1:7" ht="15.75" customHeight="1">
      <c r="A396" s="43"/>
      <c r="B396" s="43"/>
      <c r="C396" s="43"/>
      <c r="D396" s="43"/>
      <c r="E396" s="43"/>
      <c r="F396" s="43"/>
      <c r="G396" s="43"/>
    </row>
    <row r="397" spans="1:7" ht="15.75" customHeight="1">
      <c r="A397" s="43"/>
      <c r="B397" s="43"/>
      <c r="C397" s="43"/>
      <c r="D397" s="43"/>
      <c r="E397" s="43"/>
      <c r="F397" s="43"/>
      <c r="G397" s="43"/>
    </row>
    <row r="398" spans="1:7" ht="15.75" customHeight="1">
      <c r="A398" s="43"/>
      <c r="B398" s="43"/>
      <c r="C398" s="43"/>
      <c r="D398" s="43"/>
      <c r="E398" s="43"/>
      <c r="F398" s="43"/>
      <c r="G398" s="43"/>
    </row>
    <row r="399" spans="1:7" ht="15.75" customHeight="1">
      <c r="A399" s="43"/>
      <c r="B399" s="43"/>
      <c r="C399" s="43"/>
      <c r="D399" s="43"/>
      <c r="E399" s="43"/>
      <c r="F399" s="43"/>
      <c r="G399" s="43"/>
    </row>
    <row r="400" spans="1:7" ht="15.75" customHeight="1">
      <c r="A400" s="43"/>
      <c r="B400" s="43"/>
      <c r="C400" s="43"/>
      <c r="D400" s="43"/>
      <c r="E400" s="43"/>
      <c r="F400" s="43"/>
      <c r="G400" s="43"/>
    </row>
    <row r="401" spans="1:7" ht="15.75" customHeight="1">
      <c r="A401" s="43"/>
      <c r="B401" s="43"/>
      <c r="C401" s="43"/>
      <c r="D401" s="43"/>
      <c r="E401" s="43"/>
      <c r="F401" s="43"/>
      <c r="G401" s="43"/>
    </row>
    <row r="402" spans="1:7" ht="15.75" customHeight="1">
      <c r="A402" s="43"/>
      <c r="B402" s="43"/>
      <c r="C402" s="43"/>
      <c r="D402" s="43"/>
      <c r="E402" s="43"/>
      <c r="F402" s="43"/>
      <c r="G402" s="43"/>
    </row>
    <row r="403" spans="1:7" ht="15.75" customHeight="1">
      <c r="A403" s="43"/>
      <c r="B403" s="43"/>
      <c r="C403" s="43"/>
      <c r="D403" s="43"/>
      <c r="E403" s="43"/>
      <c r="F403" s="43"/>
      <c r="G403" s="43"/>
    </row>
    <row r="404" spans="1:7" ht="15.75" customHeight="1">
      <c r="A404" s="43"/>
      <c r="B404" s="43"/>
      <c r="C404" s="43"/>
      <c r="D404" s="43"/>
      <c r="E404" s="43"/>
      <c r="F404" s="43"/>
      <c r="G404" s="43"/>
    </row>
    <row r="405" spans="1:7" ht="15.75" customHeight="1">
      <c r="A405" s="43"/>
      <c r="B405" s="43"/>
      <c r="C405" s="43"/>
      <c r="D405" s="43"/>
      <c r="E405" s="43"/>
      <c r="F405" s="43"/>
      <c r="G405" s="43"/>
    </row>
    <row r="406" spans="1:7" ht="15.75" customHeight="1">
      <c r="A406" s="43"/>
      <c r="B406" s="43"/>
      <c r="C406" s="43"/>
      <c r="D406" s="43"/>
      <c r="E406" s="43"/>
      <c r="F406" s="43"/>
      <c r="G406" s="43"/>
    </row>
    <row r="407" spans="1:7" ht="15.75" customHeight="1">
      <c r="A407" s="43"/>
      <c r="B407" s="43"/>
      <c r="C407" s="43"/>
      <c r="D407" s="43"/>
      <c r="E407" s="43"/>
      <c r="F407" s="43"/>
      <c r="G407" s="43"/>
    </row>
    <row r="408" spans="1:7" ht="15.75" customHeight="1">
      <c r="A408" s="43"/>
      <c r="B408" s="43"/>
      <c r="C408" s="43"/>
      <c r="D408" s="43"/>
      <c r="E408" s="43"/>
      <c r="F408" s="43"/>
      <c r="G408" s="43"/>
    </row>
    <row r="409" spans="1:7" ht="15.75" customHeight="1">
      <c r="A409" s="43"/>
      <c r="B409" s="43"/>
      <c r="C409" s="43"/>
      <c r="D409" s="43"/>
      <c r="E409" s="43"/>
      <c r="F409" s="43"/>
      <c r="G409" s="43"/>
    </row>
    <row r="410" spans="1:7" ht="15.75" customHeight="1">
      <c r="A410" s="43"/>
      <c r="B410" s="43"/>
      <c r="C410" s="43"/>
      <c r="D410" s="43"/>
      <c r="E410" s="43"/>
      <c r="F410" s="43"/>
      <c r="G410" s="43"/>
    </row>
    <row r="411" spans="1:7" ht="15.75" customHeight="1">
      <c r="A411" s="43"/>
      <c r="B411" s="43"/>
      <c r="C411" s="43"/>
      <c r="D411" s="43"/>
      <c r="E411" s="43"/>
      <c r="F411" s="43"/>
      <c r="G411" s="43"/>
    </row>
    <row r="412" spans="1:7" ht="15.75" customHeight="1">
      <c r="A412" s="43"/>
      <c r="B412" s="43"/>
      <c r="C412" s="43"/>
      <c r="D412" s="43"/>
      <c r="E412" s="43"/>
      <c r="F412" s="43"/>
      <c r="G412" s="43"/>
    </row>
    <row r="413" spans="1:7" ht="15.75" customHeight="1">
      <c r="A413" s="43"/>
      <c r="B413" s="43"/>
      <c r="C413" s="43"/>
      <c r="D413" s="43"/>
      <c r="E413" s="43"/>
      <c r="F413" s="43"/>
      <c r="G413" s="43"/>
    </row>
    <row r="414" spans="1:7" ht="15.75" customHeight="1">
      <c r="A414" s="43"/>
      <c r="B414" s="43"/>
      <c r="C414" s="43"/>
      <c r="D414" s="43"/>
      <c r="E414" s="43"/>
      <c r="F414" s="43"/>
      <c r="G414" s="43"/>
    </row>
    <row r="415" spans="1:7" ht="15.75" customHeight="1">
      <c r="A415" s="43"/>
      <c r="B415" s="43"/>
      <c r="C415" s="43"/>
      <c r="D415" s="43"/>
      <c r="E415" s="43"/>
      <c r="F415" s="43"/>
      <c r="G415" s="43"/>
    </row>
    <row r="416" spans="1:7" ht="15.75" customHeight="1">
      <c r="A416" s="43"/>
      <c r="B416" s="43"/>
      <c r="C416" s="43"/>
      <c r="D416" s="43"/>
      <c r="E416" s="43"/>
      <c r="F416" s="43"/>
      <c r="G416" s="43"/>
    </row>
    <row r="417" spans="1:7" ht="15.75" customHeight="1">
      <c r="A417" s="43"/>
      <c r="B417" s="43"/>
      <c r="C417" s="43"/>
      <c r="D417" s="43"/>
      <c r="E417" s="43"/>
      <c r="F417" s="43"/>
      <c r="G417" s="43"/>
    </row>
    <row r="418" spans="1:7" ht="15.75" customHeight="1">
      <c r="A418" s="43"/>
      <c r="B418" s="43"/>
      <c r="C418" s="43"/>
      <c r="D418" s="43"/>
      <c r="E418" s="43"/>
      <c r="F418" s="43"/>
      <c r="G418" s="43"/>
    </row>
    <row r="419" spans="1:7" ht="15.75" customHeight="1">
      <c r="A419" s="43"/>
      <c r="B419" s="43"/>
      <c r="C419" s="43"/>
      <c r="D419" s="43"/>
      <c r="E419" s="43"/>
      <c r="F419" s="43"/>
      <c r="G419" s="43"/>
    </row>
    <row r="420" spans="1:7" ht="15.75" customHeight="1">
      <c r="A420" s="43"/>
      <c r="B420" s="43"/>
      <c r="C420" s="43"/>
      <c r="D420" s="43"/>
      <c r="E420" s="43"/>
      <c r="F420" s="43"/>
      <c r="G420" s="43"/>
    </row>
    <row r="421" spans="1:7" ht="15.75" customHeight="1">
      <c r="A421" s="43"/>
      <c r="B421" s="43"/>
      <c r="C421" s="43"/>
      <c r="D421" s="43"/>
      <c r="E421" s="43"/>
      <c r="F421" s="43"/>
      <c r="G421" s="43"/>
    </row>
    <row r="422" spans="1:7" ht="15.75" customHeight="1">
      <c r="A422" s="43"/>
      <c r="B422" s="43"/>
      <c r="C422" s="43"/>
      <c r="D422" s="43"/>
      <c r="E422" s="43"/>
      <c r="F422" s="43"/>
      <c r="G422" s="43"/>
    </row>
    <row r="423" spans="1:7" ht="15.75" customHeight="1">
      <c r="A423" s="43"/>
      <c r="B423" s="43"/>
      <c r="C423" s="43"/>
      <c r="D423" s="43"/>
      <c r="E423" s="43"/>
      <c r="F423" s="43"/>
      <c r="G423" s="43"/>
    </row>
    <row r="424" spans="1:7" ht="15.75" customHeight="1">
      <c r="A424" s="43"/>
      <c r="B424" s="43"/>
      <c r="C424" s="43"/>
      <c r="D424" s="43"/>
      <c r="E424" s="43"/>
      <c r="F424" s="43"/>
      <c r="G424" s="43"/>
    </row>
    <row r="425" spans="1:7" ht="15.75" customHeight="1">
      <c r="A425" s="43"/>
      <c r="B425" s="43"/>
      <c r="C425" s="43"/>
      <c r="D425" s="43"/>
      <c r="E425" s="43"/>
      <c r="F425" s="43"/>
      <c r="G425" s="43"/>
    </row>
    <row r="426" spans="1:7" ht="15.75" customHeight="1">
      <c r="A426" s="43"/>
      <c r="B426" s="43"/>
      <c r="C426" s="43"/>
      <c r="D426" s="43"/>
      <c r="E426" s="43"/>
      <c r="F426" s="43"/>
      <c r="G426" s="43"/>
    </row>
    <row r="427" spans="1:7" ht="15.75" customHeight="1">
      <c r="A427" s="43"/>
      <c r="B427" s="43"/>
      <c r="C427" s="43"/>
      <c r="D427" s="43"/>
      <c r="E427" s="43"/>
      <c r="F427" s="43"/>
      <c r="G427" s="43"/>
    </row>
    <row r="428" spans="1:7" ht="15.75" customHeight="1">
      <c r="A428" s="43"/>
      <c r="B428" s="43"/>
      <c r="C428" s="43"/>
      <c r="D428" s="43"/>
      <c r="E428" s="43"/>
      <c r="F428" s="43"/>
      <c r="G428" s="43"/>
    </row>
    <row r="429" spans="1:7" ht="15.75" customHeight="1">
      <c r="A429" s="43"/>
      <c r="B429" s="43"/>
      <c r="C429" s="43"/>
      <c r="D429" s="43"/>
      <c r="E429" s="43"/>
      <c r="F429" s="43"/>
      <c r="G429" s="43"/>
    </row>
    <row r="430" spans="1:7" ht="15.75" customHeight="1">
      <c r="A430" s="43"/>
      <c r="B430" s="43"/>
      <c r="C430" s="43"/>
      <c r="D430" s="43"/>
      <c r="E430" s="43"/>
      <c r="F430" s="43"/>
      <c r="G430" s="43"/>
    </row>
    <row r="431" spans="1:7" ht="15.75" customHeight="1">
      <c r="A431" s="43"/>
      <c r="B431" s="43"/>
      <c r="C431" s="43"/>
      <c r="D431" s="43"/>
      <c r="E431" s="43"/>
      <c r="F431" s="43"/>
      <c r="G431" s="43"/>
    </row>
    <row r="432" spans="1:7" ht="15.75" customHeight="1">
      <c r="A432" s="43"/>
      <c r="B432" s="43"/>
      <c r="C432" s="43"/>
      <c r="D432" s="43"/>
      <c r="E432" s="43"/>
      <c r="F432" s="43"/>
      <c r="G432" s="43"/>
    </row>
    <row r="433" spans="1:7" ht="15.75" customHeight="1">
      <c r="A433" s="43"/>
      <c r="B433" s="43"/>
      <c r="C433" s="43"/>
      <c r="D433" s="43"/>
      <c r="E433" s="43"/>
      <c r="F433" s="43"/>
      <c r="G433" s="43"/>
    </row>
    <row r="434" spans="1:7" ht="15.75" customHeight="1">
      <c r="A434" s="43"/>
      <c r="B434" s="43"/>
      <c r="C434" s="43"/>
      <c r="D434" s="43"/>
      <c r="E434" s="43"/>
      <c r="F434" s="43"/>
      <c r="G434" s="43"/>
    </row>
    <row r="435" spans="1:7" ht="15.75" customHeight="1">
      <c r="A435" s="43"/>
      <c r="B435" s="43"/>
      <c r="C435" s="43"/>
      <c r="D435" s="43"/>
      <c r="E435" s="43"/>
      <c r="F435" s="43"/>
      <c r="G435" s="43"/>
    </row>
    <row r="436" spans="1:7" ht="15.75" customHeight="1">
      <c r="A436" s="43"/>
      <c r="B436" s="43"/>
      <c r="C436" s="43"/>
      <c r="D436" s="43"/>
      <c r="E436" s="43"/>
      <c r="F436" s="43"/>
      <c r="G436" s="43"/>
    </row>
    <row r="437" spans="1:7" ht="15.75" customHeight="1">
      <c r="A437" s="43"/>
      <c r="B437" s="43"/>
      <c r="C437" s="43"/>
      <c r="D437" s="43"/>
      <c r="E437" s="43"/>
      <c r="F437" s="43"/>
      <c r="G437" s="43"/>
    </row>
    <row r="438" spans="1:7" ht="15.75" customHeight="1">
      <c r="A438" s="43"/>
      <c r="B438" s="43"/>
      <c r="C438" s="43"/>
      <c r="D438" s="43"/>
      <c r="E438" s="43"/>
      <c r="F438" s="43"/>
      <c r="G438" s="43"/>
    </row>
    <row r="439" spans="1:7" ht="15.75" customHeight="1">
      <c r="A439" s="43"/>
      <c r="B439" s="43"/>
      <c r="C439" s="43"/>
      <c r="D439" s="43"/>
      <c r="E439" s="43"/>
      <c r="F439" s="43"/>
      <c r="G439" s="43"/>
    </row>
    <row r="440" spans="1:7" ht="15.75" customHeight="1">
      <c r="A440" s="43"/>
      <c r="B440" s="43"/>
      <c r="C440" s="43"/>
      <c r="D440" s="43"/>
      <c r="E440" s="43"/>
      <c r="F440" s="43"/>
      <c r="G440" s="43"/>
    </row>
    <row r="441" spans="1:7" ht="15.75" customHeight="1">
      <c r="A441" s="43"/>
      <c r="B441" s="43"/>
      <c r="C441" s="43"/>
      <c r="D441" s="43"/>
      <c r="E441" s="43"/>
      <c r="F441" s="43"/>
      <c r="G441" s="43"/>
    </row>
    <row r="442" spans="1:7" ht="15.75" customHeight="1">
      <c r="A442" s="43"/>
      <c r="B442" s="43"/>
      <c r="C442" s="43"/>
      <c r="D442" s="43"/>
      <c r="E442" s="43"/>
      <c r="F442" s="43"/>
      <c r="G442" s="43"/>
    </row>
    <row r="443" spans="1:7" ht="15.75" customHeight="1">
      <c r="A443" s="43"/>
      <c r="B443" s="43"/>
      <c r="C443" s="43"/>
      <c r="D443" s="43"/>
      <c r="E443" s="43"/>
      <c r="F443" s="43"/>
      <c r="G443" s="43"/>
    </row>
    <row r="444" spans="1:7" ht="15.75" customHeight="1">
      <c r="A444" s="43"/>
      <c r="B444" s="43"/>
      <c r="C444" s="43"/>
      <c r="D444" s="43"/>
      <c r="E444" s="43"/>
      <c r="F444" s="43"/>
      <c r="G444" s="43"/>
    </row>
    <row r="445" spans="1:7" ht="15.75" customHeight="1">
      <c r="A445" s="43"/>
      <c r="B445" s="43"/>
      <c r="C445" s="43"/>
      <c r="D445" s="43"/>
      <c r="E445" s="43"/>
      <c r="F445" s="43"/>
      <c r="G445" s="43"/>
    </row>
    <row r="446" spans="1:7" ht="15.75" customHeight="1">
      <c r="A446" s="43"/>
      <c r="B446" s="43"/>
      <c r="C446" s="43"/>
      <c r="D446" s="43"/>
      <c r="E446" s="43"/>
      <c r="F446" s="43"/>
      <c r="G446" s="43"/>
    </row>
    <row r="447" spans="1:7" ht="15.75" customHeight="1">
      <c r="A447" s="43"/>
      <c r="B447" s="43"/>
      <c r="C447" s="43"/>
      <c r="D447" s="43"/>
      <c r="E447" s="43"/>
      <c r="F447" s="43"/>
      <c r="G447" s="43"/>
    </row>
    <row r="448" spans="1:7" ht="15.75" customHeight="1">
      <c r="A448" s="43"/>
      <c r="B448" s="43"/>
      <c r="C448" s="43"/>
      <c r="D448" s="43"/>
      <c r="E448" s="43"/>
      <c r="F448" s="43"/>
      <c r="G448" s="43"/>
    </row>
    <row r="449" spans="1:7" ht="15.75" customHeight="1">
      <c r="A449" s="43"/>
      <c r="B449" s="43"/>
      <c r="C449" s="43"/>
      <c r="D449" s="43"/>
      <c r="E449" s="43"/>
      <c r="F449" s="43"/>
      <c r="G449" s="43"/>
    </row>
    <row r="450" spans="1:7" ht="15.75" customHeight="1">
      <c r="A450" s="43"/>
      <c r="B450" s="43"/>
      <c r="C450" s="43"/>
      <c r="D450" s="43"/>
      <c r="E450" s="43"/>
      <c r="F450" s="43"/>
      <c r="G450" s="43"/>
    </row>
    <row r="451" spans="1:7" ht="15.75" customHeight="1">
      <c r="A451" s="43"/>
      <c r="B451" s="43"/>
      <c r="C451" s="43"/>
      <c r="D451" s="43"/>
      <c r="E451" s="43"/>
      <c r="F451" s="43"/>
      <c r="G451" s="43"/>
    </row>
    <row r="452" spans="1:7" ht="15.75" customHeight="1">
      <c r="A452" s="43"/>
      <c r="B452" s="43"/>
      <c r="C452" s="43"/>
      <c r="D452" s="43"/>
      <c r="E452" s="43"/>
      <c r="F452" s="43"/>
      <c r="G452" s="43"/>
    </row>
    <row r="453" spans="1:7" ht="15.75" customHeight="1">
      <c r="A453" s="43"/>
      <c r="B453" s="43"/>
      <c r="C453" s="43"/>
      <c r="D453" s="43"/>
      <c r="E453" s="43"/>
      <c r="F453" s="43"/>
      <c r="G453" s="43"/>
    </row>
    <row r="454" spans="1:7" ht="15.75" customHeight="1">
      <c r="A454" s="43"/>
      <c r="B454" s="43"/>
      <c r="C454" s="43"/>
      <c r="D454" s="43"/>
      <c r="E454" s="43"/>
      <c r="F454" s="43"/>
      <c r="G454" s="43"/>
    </row>
    <row r="455" spans="1:7" ht="15.75" customHeight="1">
      <c r="A455" s="43"/>
      <c r="B455" s="43"/>
      <c r="C455" s="43"/>
      <c r="D455" s="43"/>
      <c r="E455" s="43"/>
      <c r="F455" s="43"/>
      <c r="G455" s="43"/>
    </row>
    <row r="456" spans="1:7" ht="15.75" customHeight="1">
      <c r="A456" s="43"/>
      <c r="B456" s="43"/>
      <c r="C456" s="43"/>
      <c r="D456" s="43"/>
      <c r="E456" s="43"/>
      <c r="F456" s="43"/>
      <c r="G456" s="43"/>
    </row>
    <row r="457" spans="1:7" ht="15.75" customHeight="1">
      <c r="A457" s="43"/>
      <c r="B457" s="43"/>
      <c r="C457" s="43"/>
      <c r="D457" s="43"/>
      <c r="E457" s="43"/>
      <c r="F457" s="43"/>
      <c r="G457" s="43"/>
    </row>
    <row r="458" spans="1:7" ht="15.75" customHeight="1">
      <c r="A458" s="43"/>
      <c r="B458" s="43"/>
      <c r="C458" s="43"/>
      <c r="D458" s="43"/>
      <c r="E458" s="43"/>
      <c r="F458" s="43"/>
      <c r="G458" s="43"/>
    </row>
    <row r="459" spans="1:7" ht="15.75" customHeight="1">
      <c r="A459" s="43"/>
      <c r="B459" s="43"/>
      <c r="C459" s="43"/>
      <c r="D459" s="43"/>
      <c r="E459" s="43"/>
      <c r="F459" s="43"/>
      <c r="G459" s="43"/>
    </row>
    <row r="460" spans="1:7" ht="15.75" customHeight="1">
      <c r="A460" s="43"/>
      <c r="B460" s="43"/>
      <c r="C460" s="43"/>
      <c r="D460" s="43"/>
      <c r="E460" s="43"/>
      <c r="F460" s="43"/>
      <c r="G460" s="43"/>
    </row>
    <row r="461" spans="1:7" ht="15.75" customHeight="1">
      <c r="A461" s="43"/>
      <c r="B461" s="43"/>
      <c r="C461" s="43"/>
      <c r="D461" s="43"/>
      <c r="E461" s="43"/>
      <c r="F461" s="43"/>
      <c r="G461" s="43"/>
    </row>
    <row r="462" spans="1:7" ht="15.75" customHeight="1">
      <c r="A462" s="43"/>
      <c r="B462" s="43"/>
      <c r="C462" s="43"/>
      <c r="D462" s="43"/>
      <c r="E462" s="43"/>
      <c r="F462" s="43"/>
      <c r="G462" s="43"/>
    </row>
    <row r="463" spans="1:7" ht="15.75" customHeight="1">
      <c r="A463" s="43"/>
      <c r="B463" s="43"/>
      <c r="C463" s="43"/>
      <c r="D463" s="43"/>
      <c r="E463" s="43"/>
      <c r="F463" s="43"/>
      <c r="G463" s="43"/>
    </row>
    <row r="464" spans="1:7" ht="15.75" customHeight="1">
      <c r="A464" s="43"/>
      <c r="B464" s="43"/>
      <c r="C464" s="43"/>
      <c r="D464" s="43"/>
      <c r="E464" s="43"/>
      <c r="F464" s="43"/>
      <c r="G464" s="43"/>
    </row>
    <row r="465" spans="1:7" ht="15.75" customHeight="1">
      <c r="A465" s="43"/>
      <c r="B465" s="43"/>
      <c r="C465" s="43"/>
      <c r="D465" s="43"/>
      <c r="E465" s="43"/>
      <c r="F465" s="43"/>
      <c r="G465" s="43"/>
    </row>
    <row r="466" spans="1:7" ht="15.75" customHeight="1">
      <c r="A466" s="43"/>
      <c r="B466" s="43"/>
      <c r="C466" s="43"/>
      <c r="D466" s="43"/>
      <c r="E466" s="43"/>
      <c r="F466" s="43"/>
      <c r="G466" s="43"/>
    </row>
    <row r="467" spans="1:7" ht="15.75" customHeight="1">
      <c r="A467" s="43"/>
      <c r="B467" s="43"/>
      <c r="C467" s="43"/>
      <c r="D467" s="43"/>
      <c r="E467" s="43"/>
      <c r="F467" s="43"/>
      <c r="G467" s="43"/>
    </row>
    <row r="468" spans="1:7" ht="15.75" customHeight="1">
      <c r="A468" s="43"/>
      <c r="B468" s="43"/>
      <c r="C468" s="43"/>
      <c r="D468" s="43"/>
      <c r="E468" s="43"/>
      <c r="F468" s="43"/>
      <c r="G468" s="43"/>
    </row>
    <row r="469" spans="1:7" ht="15.75" customHeight="1">
      <c r="A469" s="43"/>
      <c r="B469" s="43"/>
      <c r="C469" s="43"/>
      <c r="D469" s="43"/>
      <c r="E469" s="43"/>
      <c r="F469" s="43"/>
      <c r="G469" s="43"/>
    </row>
    <row r="470" spans="1:7" ht="15.75" customHeight="1">
      <c r="A470" s="43"/>
      <c r="B470" s="43"/>
      <c r="C470" s="43"/>
      <c r="D470" s="43"/>
      <c r="E470" s="43"/>
      <c r="F470" s="43"/>
      <c r="G470" s="43"/>
    </row>
    <row r="471" spans="1:7" ht="15.75" customHeight="1">
      <c r="A471" s="43"/>
      <c r="B471" s="43"/>
      <c r="C471" s="43"/>
      <c r="D471" s="43"/>
      <c r="E471" s="43"/>
      <c r="F471" s="43"/>
      <c r="G471" s="43"/>
    </row>
    <row r="472" spans="1:7" ht="15.75" customHeight="1">
      <c r="A472" s="43"/>
      <c r="B472" s="43"/>
      <c r="C472" s="43"/>
      <c r="D472" s="43"/>
      <c r="E472" s="43"/>
      <c r="F472" s="43"/>
      <c r="G472" s="43"/>
    </row>
    <row r="473" spans="1:7" ht="15.75" customHeight="1">
      <c r="A473" s="43"/>
      <c r="B473" s="43"/>
      <c r="C473" s="43"/>
      <c r="D473" s="43"/>
      <c r="E473" s="43"/>
      <c r="F473" s="43"/>
      <c r="G473" s="43"/>
    </row>
    <row r="474" spans="1:7" ht="15.75" customHeight="1">
      <c r="A474" s="43"/>
      <c r="B474" s="43"/>
      <c r="C474" s="43"/>
      <c r="D474" s="43"/>
      <c r="E474" s="43"/>
      <c r="F474" s="43"/>
      <c r="G474" s="43"/>
    </row>
    <row r="475" spans="1:7" ht="15.75" customHeight="1">
      <c r="A475" s="43"/>
      <c r="B475" s="43"/>
      <c r="C475" s="43"/>
      <c r="D475" s="43"/>
      <c r="E475" s="43"/>
      <c r="F475" s="43"/>
      <c r="G475" s="43"/>
    </row>
    <row r="476" spans="1:7" ht="15.75" customHeight="1">
      <c r="A476" s="43"/>
      <c r="B476" s="43"/>
      <c r="C476" s="43"/>
      <c r="D476" s="43"/>
      <c r="E476" s="43"/>
      <c r="F476" s="43"/>
      <c r="G476" s="43"/>
    </row>
    <row r="477" spans="1:7" ht="15.75" customHeight="1">
      <c r="A477" s="43"/>
      <c r="B477" s="43"/>
      <c r="C477" s="43"/>
      <c r="D477" s="43"/>
      <c r="E477" s="43"/>
      <c r="F477" s="43"/>
      <c r="G477" s="43"/>
    </row>
    <row r="478" spans="1:7" ht="15.75" customHeight="1">
      <c r="A478" s="43"/>
      <c r="B478" s="43"/>
      <c r="C478" s="43"/>
      <c r="D478" s="43"/>
      <c r="E478" s="43"/>
      <c r="F478" s="43"/>
      <c r="G478" s="43"/>
    </row>
    <row r="479" spans="1:7" ht="15.75" customHeight="1">
      <c r="A479" s="43"/>
      <c r="B479" s="43"/>
      <c r="C479" s="43"/>
      <c r="D479" s="43"/>
      <c r="E479" s="43"/>
      <c r="F479" s="43"/>
      <c r="G479" s="43"/>
    </row>
    <row r="480" spans="1:7" ht="15.75" customHeight="1">
      <c r="A480" s="43"/>
      <c r="B480" s="43"/>
      <c r="C480" s="43"/>
      <c r="D480" s="43"/>
      <c r="E480" s="43"/>
      <c r="F480" s="43"/>
      <c r="G480" s="43"/>
    </row>
    <row r="481" spans="1:7" ht="15.75" customHeight="1">
      <c r="A481" s="43"/>
      <c r="B481" s="43"/>
      <c r="C481" s="43"/>
      <c r="D481" s="43"/>
      <c r="E481" s="43"/>
      <c r="F481" s="43"/>
      <c r="G481" s="43"/>
    </row>
    <row r="482" spans="1:7" ht="15.75" customHeight="1">
      <c r="A482" s="43"/>
      <c r="B482" s="43"/>
      <c r="C482" s="43"/>
      <c r="D482" s="43"/>
      <c r="E482" s="43"/>
      <c r="F482" s="43"/>
      <c r="G482" s="43"/>
    </row>
    <row r="483" spans="1:7" ht="15.75" customHeight="1">
      <c r="A483" s="43"/>
      <c r="B483" s="43"/>
      <c r="C483" s="43"/>
      <c r="D483" s="43"/>
      <c r="E483" s="43"/>
      <c r="F483" s="43"/>
      <c r="G483" s="43"/>
    </row>
    <row r="484" spans="1:7" ht="15.75" customHeight="1">
      <c r="A484" s="43"/>
      <c r="B484" s="43"/>
      <c r="C484" s="43"/>
      <c r="D484" s="43"/>
      <c r="E484" s="43"/>
      <c r="F484" s="43"/>
      <c r="G484" s="43"/>
    </row>
    <row r="485" spans="1:7" ht="15.75" customHeight="1">
      <c r="A485" s="43"/>
      <c r="B485" s="43"/>
      <c r="C485" s="43"/>
      <c r="D485" s="43"/>
      <c r="E485" s="43"/>
      <c r="F485" s="43"/>
      <c r="G485" s="43"/>
    </row>
    <row r="486" spans="1:7" ht="15.75" customHeight="1">
      <c r="A486" s="43"/>
      <c r="B486" s="43"/>
      <c r="C486" s="43"/>
      <c r="D486" s="43"/>
      <c r="E486" s="43"/>
      <c r="F486" s="43"/>
      <c r="G486" s="43"/>
    </row>
    <row r="487" spans="1:7" ht="15.75" customHeight="1">
      <c r="A487" s="43"/>
      <c r="B487" s="43"/>
      <c r="C487" s="43"/>
      <c r="D487" s="43"/>
      <c r="E487" s="43"/>
      <c r="F487" s="43"/>
      <c r="G487" s="43"/>
    </row>
    <row r="488" spans="1:7" ht="15.75" customHeight="1">
      <c r="A488" s="43"/>
      <c r="B488" s="43"/>
      <c r="C488" s="43"/>
      <c r="D488" s="43"/>
      <c r="E488" s="43"/>
      <c r="F488" s="43"/>
      <c r="G488" s="43"/>
    </row>
    <row r="489" spans="1:7" ht="15.75" customHeight="1">
      <c r="A489" s="43"/>
      <c r="B489" s="43"/>
      <c r="C489" s="43"/>
      <c r="D489" s="43"/>
      <c r="E489" s="43"/>
      <c r="F489" s="43"/>
      <c r="G489" s="43"/>
    </row>
    <row r="490" spans="1:7" ht="15.75" customHeight="1">
      <c r="A490" s="43"/>
      <c r="B490" s="43"/>
      <c r="C490" s="43"/>
      <c r="D490" s="43"/>
      <c r="E490" s="43"/>
      <c r="F490" s="43"/>
      <c r="G490" s="43"/>
    </row>
    <row r="491" spans="1:7" ht="15.75" customHeight="1">
      <c r="A491" s="43"/>
      <c r="B491" s="43"/>
      <c r="C491" s="43"/>
      <c r="D491" s="43"/>
      <c r="E491" s="43"/>
      <c r="F491" s="43"/>
      <c r="G491" s="43"/>
    </row>
    <row r="492" spans="1:7" ht="15.75" customHeight="1">
      <c r="A492" s="43"/>
      <c r="B492" s="43"/>
      <c r="C492" s="43"/>
      <c r="D492" s="43"/>
      <c r="E492" s="43"/>
      <c r="F492" s="43"/>
      <c r="G492" s="43"/>
    </row>
    <row r="493" spans="1:7" ht="15.75" customHeight="1">
      <c r="A493" s="43"/>
      <c r="B493" s="43"/>
      <c r="C493" s="43"/>
      <c r="D493" s="43"/>
      <c r="E493" s="43"/>
      <c r="F493" s="43"/>
      <c r="G493" s="43"/>
    </row>
    <row r="494" spans="1:7" ht="15.75" customHeight="1">
      <c r="A494" s="43"/>
      <c r="B494" s="43"/>
      <c r="C494" s="43"/>
      <c r="D494" s="43"/>
      <c r="E494" s="43"/>
      <c r="F494" s="43"/>
      <c r="G494" s="43"/>
    </row>
    <row r="495" spans="1:7" ht="15.75" customHeight="1">
      <c r="A495" s="43"/>
      <c r="B495" s="43"/>
      <c r="C495" s="43"/>
      <c r="D495" s="43"/>
      <c r="E495" s="43"/>
      <c r="F495" s="43"/>
      <c r="G495" s="43"/>
    </row>
    <row r="496" spans="1:7" ht="15.75" customHeight="1">
      <c r="A496" s="43"/>
      <c r="B496" s="43"/>
      <c r="C496" s="43"/>
      <c r="D496" s="43"/>
      <c r="E496" s="43"/>
      <c r="F496" s="43"/>
      <c r="G496" s="43"/>
    </row>
    <row r="497" spans="1:7" ht="15.75" customHeight="1">
      <c r="A497" s="43"/>
      <c r="B497" s="43"/>
      <c r="C497" s="43"/>
      <c r="D497" s="43"/>
      <c r="E497" s="43"/>
      <c r="F497" s="43"/>
      <c r="G497" s="43"/>
    </row>
    <row r="498" spans="1:7" ht="15.75" customHeight="1">
      <c r="A498" s="43"/>
      <c r="B498" s="43"/>
      <c r="C498" s="43"/>
      <c r="D498" s="43"/>
      <c r="E498" s="43"/>
      <c r="F498" s="43"/>
      <c r="G498" s="43"/>
    </row>
    <row r="499" spans="1:7" ht="15.75" customHeight="1">
      <c r="A499" s="43"/>
      <c r="B499" s="43"/>
      <c r="C499" s="43"/>
      <c r="D499" s="43"/>
      <c r="E499" s="43"/>
      <c r="F499" s="43"/>
      <c r="G499" s="43"/>
    </row>
    <row r="500" spans="1:7" ht="15.75" customHeight="1">
      <c r="A500" s="43"/>
      <c r="B500" s="43"/>
      <c r="C500" s="43"/>
      <c r="D500" s="43"/>
      <c r="E500" s="43"/>
      <c r="F500" s="43"/>
      <c r="G500" s="43"/>
    </row>
    <row r="501" spans="1:7" ht="15.75" customHeight="1">
      <c r="A501" s="43"/>
      <c r="B501" s="43"/>
      <c r="C501" s="43"/>
      <c r="D501" s="43"/>
      <c r="E501" s="43"/>
      <c r="F501" s="43"/>
      <c r="G501" s="43"/>
    </row>
    <row r="502" spans="1:7" ht="15.75" customHeight="1">
      <c r="A502" s="43"/>
      <c r="B502" s="43"/>
      <c r="C502" s="43"/>
      <c r="D502" s="43"/>
      <c r="E502" s="43"/>
      <c r="F502" s="43"/>
      <c r="G502" s="43"/>
    </row>
    <row r="503" spans="1:7" ht="15.75" customHeight="1">
      <c r="A503" s="43"/>
      <c r="B503" s="43"/>
      <c r="C503" s="43"/>
      <c r="D503" s="43"/>
      <c r="E503" s="43"/>
      <c r="F503" s="43"/>
      <c r="G503" s="43"/>
    </row>
    <row r="504" spans="1:7" ht="15.75" customHeight="1">
      <c r="A504" s="43"/>
      <c r="B504" s="43"/>
      <c r="C504" s="43"/>
      <c r="D504" s="43"/>
      <c r="E504" s="43"/>
      <c r="F504" s="43"/>
      <c r="G504" s="43"/>
    </row>
    <row r="505" spans="1:7" ht="15.75" customHeight="1">
      <c r="A505" s="43"/>
      <c r="B505" s="43"/>
      <c r="C505" s="43"/>
      <c r="D505" s="43"/>
      <c r="E505" s="43"/>
      <c r="F505" s="43"/>
      <c r="G505" s="43"/>
    </row>
    <row r="506" spans="1:7" ht="15.75" customHeight="1">
      <c r="A506" s="43"/>
      <c r="B506" s="43"/>
      <c r="C506" s="43"/>
      <c r="D506" s="43"/>
      <c r="E506" s="43"/>
      <c r="F506" s="43"/>
      <c r="G506" s="43"/>
    </row>
    <row r="507" spans="1:7" ht="15.75" customHeight="1">
      <c r="A507" s="43"/>
      <c r="B507" s="43"/>
      <c r="C507" s="43"/>
      <c r="D507" s="43"/>
      <c r="E507" s="43"/>
      <c r="F507" s="43"/>
      <c r="G507" s="43"/>
    </row>
    <row r="508" spans="1:7" ht="15.75" customHeight="1">
      <c r="A508" s="43"/>
      <c r="B508" s="43"/>
      <c r="C508" s="43"/>
      <c r="D508" s="43"/>
      <c r="E508" s="43"/>
      <c r="F508" s="43"/>
      <c r="G508" s="43"/>
    </row>
    <row r="509" spans="1:7" ht="15.75" customHeight="1">
      <c r="A509" s="43"/>
      <c r="B509" s="43"/>
      <c r="C509" s="43"/>
      <c r="D509" s="43"/>
      <c r="E509" s="43"/>
      <c r="F509" s="43"/>
      <c r="G509" s="43"/>
    </row>
    <row r="510" spans="1:7" ht="15.75" customHeight="1">
      <c r="A510" s="43"/>
      <c r="B510" s="43"/>
      <c r="C510" s="43"/>
      <c r="D510" s="43"/>
      <c r="E510" s="43"/>
      <c r="F510" s="43"/>
      <c r="G510" s="43"/>
    </row>
    <row r="511" spans="1:7" ht="15.75" customHeight="1">
      <c r="A511" s="43"/>
      <c r="B511" s="43"/>
      <c r="C511" s="43"/>
      <c r="D511" s="43"/>
      <c r="E511" s="43"/>
      <c r="F511" s="43"/>
      <c r="G511" s="43"/>
    </row>
    <row r="512" spans="1:7" ht="15.75" customHeight="1">
      <c r="A512" s="43"/>
      <c r="B512" s="43"/>
      <c r="C512" s="43"/>
      <c r="D512" s="43"/>
      <c r="E512" s="43"/>
      <c r="F512" s="43"/>
      <c r="G512" s="43"/>
    </row>
    <row r="513" spans="1:7" ht="15.75" customHeight="1">
      <c r="A513" s="43"/>
      <c r="B513" s="43"/>
      <c r="C513" s="43"/>
      <c r="D513" s="43"/>
      <c r="E513" s="43"/>
      <c r="F513" s="43"/>
      <c r="G513" s="43"/>
    </row>
    <row r="514" spans="1:7" ht="15.75" customHeight="1">
      <c r="A514" s="43"/>
      <c r="B514" s="43"/>
      <c r="C514" s="43"/>
      <c r="D514" s="43"/>
      <c r="E514" s="43"/>
      <c r="F514" s="43"/>
      <c r="G514" s="43"/>
    </row>
    <row r="515" spans="1:7" ht="15.75" customHeight="1">
      <c r="A515" s="43"/>
      <c r="B515" s="43"/>
      <c r="C515" s="43"/>
      <c r="D515" s="43"/>
      <c r="E515" s="43"/>
      <c r="F515" s="43"/>
      <c r="G515" s="43"/>
    </row>
    <row r="516" spans="1:7" ht="15.75" customHeight="1">
      <c r="A516" s="43"/>
      <c r="B516" s="43"/>
      <c r="C516" s="43"/>
      <c r="D516" s="43"/>
      <c r="E516" s="43"/>
      <c r="F516" s="43"/>
      <c r="G516" s="43"/>
    </row>
    <row r="517" spans="1:7" ht="15.75" customHeight="1">
      <c r="A517" s="43"/>
      <c r="B517" s="43"/>
      <c r="C517" s="43"/>
      <c r="D517" s="43"/>
      <c r="E517" s="43"/>
      <c r="F517" s="43"/>
      <c r="G517" s="43"/>
    </row>
    <row r="518" spans="1:7" ht="15.75" customHeight="1">
      <c r="A518" s="43"/>
      <c r="B518" s="43"/>
      <c r="C518" s="43"/>
      <c r="D518" s="43"/>
      <c r="E518" s="43"/>
      <c r="F518" s="43"/>
      <c r="G518" s="43"/>
    </row>
    <row r="519" spans="1:7" ht="15.75" customHeight="1">
      <c r="A519" s="43"/>
      <c r="B519" s="43"/>
      <c r="C519" s="43"/>
      <c r="D519" s="43"/>
      <c r="E519" s="43"/>
      <c r="F519" s="43"/>
      <c r="G519" s="43"/>
    </row>
    <row r="520" spans="1:7" ht="15.75" customHeight="1">
      <c r="A520" s="43"/>
      <c r="B520" s="43"/>
      <c r="C520" s="43"/>
      <c r="D520" s="43"/>
      <c r="E520" s="43"/>
      <c r="F520" s="43"/>
      <c r="G520" s="43"/>
    </row>
    <row r="521" spans="1:7" ht="15.75" customHeight="1">
      <c r="A521" s="43"/>
      <c r="B521" s="43"/>
      <c r="C521" s="43"/>
      <c r="D521" s="43"/>
      <c r="E521" s="43"/>
      <c r="F521" s="43"/>
      <c r="G521" s="43"/>
    </row>
    <row r="522" spans="1:7" ht="15.75" customHeight="1">
      <c r="A522" s="43"/>
      <c r="B522" s="43"/>
      <c r="C522" s="43"/>
      <c r="D522" s="43"/>
      <c r="E522" s="43"/>
      <c r="F522" s="43"/>
      <c r="G522" s="43"/>
    </row>
    <row r="523" spans="1:7" ht="15.75" customHeight="1">
      <c r="A523" s="43"/>
      <c r="B523" s="43"/>
      <c r="C523" s="43"/>
      <c r="D523" s="43"/>
      <c r="E523" s="43"/>
      <c r="F523" s="43"/>
      <c r="G523" s="43"/>
    </row>
    <row r="524" spans="1:7" ht="15.75" customHeight="1">
      <c r="A524" s="43"/>
      <c r="B524" s="43"/>
      <c r="C524" s="43"/>
      <c r="D524" s="43"/>
      <c r="E524" s="43"/>
      <c r="F524" s="43"/>
      <c r="G524" s="43"/>
    </row>
    <row r="525" spans="1:7" ht="15.75" customHeight="1">
      <c r="A525" s="43"/>
      <c r="B525" s="43"/>
      <c r="C525" s="43"/>
      <c r="D525" s="43"/>
      <c r="E525" s="43"/>
      <c r="F525" s="43"/>
      <c r="G525" s="43"/>
    </row>
    <row r="526" spans="1:7" ht="15.75" customHeight="1">
      <c r="A526" s="43"/>
      <c r="B526" s="43"/>
      <c r="C526" s="43"/>
      <c r="D526" s="43"/>
      <c r="E526" s="43"/>
      <c r="F526" s="43"/>
      <c r="G526" s="43"/>
    </row>
    <row r="527" spans="1:7" ht="15.75" customHeight="1">
      <c r="A527" s="43"/>
      <c r="B527" s="43"/>
      <c r="C527" s="43"/>
      <c r="D527" s="43"/>
      <c r="E527" s="43"/>
      <c r="F527" s="43"/>
      <c r="G527" s="43"/>
    </row>
    <row r="528" spans="1:7" ht="15.75" customHeight="1">
      <c r="A528" s="43"/>
      <c r="B528" s="43"/>
      <c r="C528" s="43"/>
      <c r="D528" s="43"/>
      <c r="E528" s="43"/>
      <c r="F528" s="43"/>
      <c r="G528" s="43"/>
    </row>
    <row r="529" spans="1:7" ht="15.75" customHeight="1">
      <c r="A529" s="43"/>
      <c r="B529" s="43"/>
      <c r="C529" s="43"/>
      <c r="D529" s="43"/>
      <c r="E529" s="43"/>
      <c r="F529" s="43"/>
      <c r="G529" s="43"/>
    </row>
    <row r="530" spans="1:7" ht="15.75" customHeight="1">
      <c r="A530" s="43"/>
      <c r="B530" s="43"/>
      <c r="C530" s="43"/>
      <c r="D530" s="43"/>
      <c r="E530" s="43"/>
      <c r="F530" s="43"/>
      <c r="G530" s="43"/>
    </row>
    <row r="531" spans="1:7" ht="15.75" customHeight="1">
      <c r="A531" s="43"/>
      <c r="B531" s="43"/>
      <c r="C531" s="43"/>
      <c r="D531" s="43"/>
      <c r="E531" s="43"/>
      <c r="F531" s="43"/>
      <c r="G531" s="43"/>
    </row>
    <row r="532" spans="1:7" ht="15.75" customHeight="1">
      <c r="A532" s="43"/>
      <c r="B532" s="43"/>
      <c r="C532" s="43"/>
      <c r="D532" s="43"/>
      <c r="E532" s="43"/>
      <c r="F532" s="43"/>
      <c r="G532" s="43"/>
    </row>
    <row r="533" spans="1:7" ht="15.75" customHeight="1">
      <c r="A533" s="43"/>
      <c r="B533" s="43"/>
      <c r="C533" s="43"/>
      <c r="D533" s="43"/>
      <c r="E533" s="43"/>
      <c r="F533" s="43"/>
      <c r="G533" s="43"/>
    </row>
    <row r="534" spans="1:7" ht="15.75" customHeight="1">
      <c r="A534" s="43"/>
      <c r="B534" s="43"/>
      <c r="C534" s="43"/>
      <c r="D534" s="43"/>
      <c r="E534" s="43"/>
      <c r="F534" s="43"/>
      <c r="G534" s="43"/>
    </row>
    <row r="535" spans="1:7" ht="15.75" customHeight="1">
      <c r="A535" s="43"/>
      <c r="B535" s="43"/>
      <c r="C535" s="43"/>
      <c r="D535" s="43"/>
      <c r="E535" s="43"/>
      <c r="F535" s="43"/>
      <c r="G535" s="43"/>
    </row>
    <row r="536" spans="1:7" ht="15.75" customHeight="1">
      <c r="A536" s="43"/>
      <c r="B536" s="43"/>
      <c r="C536" s="43"/>
      <c r="D536" s="43"/>
      <c r="E536" s="43"/>
      <c r="F536" s="43"/>
      <c r="G536" s="43"/>
    </row>
    <row r="537" spans="1:7" ht="15.75" customHeight="1">
      <c r="A537" s="43"/>
      <c r="B537" s="43"/>
      <c r="C537" s="43"/>
      <c r="D537" s="43"/>
      <c r="E537" s="43"/>
      <c r="F537" s="43"/>
      <c r="G537" s="43"/>
    </row>
    <row r="538" spans="1:7" ht="15.75" customHeight="1">
      <c r="A538" s="43"/>
      <c r="B538" s="43"/>
      <c r="C538" s="43"/>
      <c r="D538" s="43"/>
      <c r="E538" s="43"/>
      <c r="F538" s="43"/>
      <c r="G538" s="43"/>
    </row>
    <row r="539" spans="1:7" ht="15.75" customHeight="1">
      <c r="A539" s="43"/>
      <c r="B539" s="43"/>
      <c r="C539" s="43"/>
      <c r="D539" s="43"/>
      <c r="E539" s="43"/>
      <c r="F539" s="43"/>
      <c r="G539" s="43"/>
    </row>
    <row r="540" spans="1:7" ht="15.75" customHeight="1">
      <c r="A540" s="43"/>
      <c r="B540" s="43"/>
      <c r="C540" s="43"/>
      <c r="D540" s="43"/>
      <c r="E540" s="43"/>
      <c r="F540" s="43"/>
      <c r="G540" s="43"/>
    </row>
    <row r="541" spans="1:7" ht="15.75" customHeight="1">
      <c r="A541" s="43"/>
      <c r="B541" s="43"/>
      <c r="C541" s="43"/>
      <c r="D541" s="43"/>
      <c r="E541" s="43"/>
      <c r="F541" s="43"/>
      <c r="G541" s="43"/>
    </row>
    <row r="542" spans="1:7" ht="15.75" customHeight="1">
      <c r="A542" s="43"/>
      <c r="B542" s="43"/>
      <c r="C542" s="43"/>
      <c r="D542" s="43"/>
      <c r="E542" s="43"/>
      <c r="F542" s="43"/>
      <c r="G542" s="43"/>
    </row>
    <row r="543" spans="1:7" ht="15.75" customHeight="1">
      <c r="A543" s="43"/>
      <c r="B543" s="43"/>
      <c r="C543" s="43"/>
      <c r="D543" s="43"/>
      <c r="E543" s="43"/>
      <c r="F543" s="43"/>
      <c r="G543" s="43"/>
    </row>
    <row r="544" spans="1:7" ht="15.75" customHeight="1">
      <c r="A544" s="43"/>
      <c r="B544" s="43"/>
      <c r="C544" s="43"/>
      <c r="D544" s="43"/>
      <c r="E544" s="43"/>
      <c r="F544" s="43"/>
      <c r="G544" s="43"/>
    </row>
    <row r="545" spans="1:7" ht="15.75" customHeight="1">
      <c r="A545" s="43"/>
      <c r="B545" s="43"/>
      <c r="C545" s="43"/>
      <c r="D545" s="43"/>
      <c r="E545" s="43"/>
      <c r="F545" s="43"/>
      <c r="G545" s="43"/>
    </row>
    <row r="546" spans="1:7" ht="15.75" customHeight="1">
      <c r="A546" s="43"/>
      <c r="B546" s="43"/>
      <c r="C546" s="43"/>
      <c r="D546" s="43"/>
      <c r="E546" s="43"/>
      <c r="F546" s="43"/>
      <c r="G546" s="43"/>
    </row>
    <row r="547" spans="1:7" ht="15.75" customHeight="1">
      <c r="A547" s="43"/>
      <c r="B547" s="43"/>
      <c r="C547" s="43"/>
      <c r="D547" s="43"/>
      <c r="E547" s="43"/>
      <c r="F547" s="43"/>
      <c r="G547" s="43"/>
    </row>
    <row r="548" spans="1:7" ht="15.75" customHeight="1">
      <c r="A548" s="43"/>
      <c r="B548" s="43"/>
      <c r="C548" s="43"/>
      <c r="D548" s="43"/>
      <c r="E548" s="43"/>
      <c r="F548" s="43"/>
      <c r="G548" s="43"/>
    </row>
    <row r="549" spans="1:7" ht="15.75" customHeight="1">
      <c r="A549" s="43"/>
      <c r="B549" s="43"/>
      <c r="C549" s="43"/>
      <c r="D549" s="43"/>
      <c r="E549" s="43"/>
      <c r="F549" s="43"/>
      <c r="G549" s="43"/>
    </row>
    <row r="550" spans="1:7" ht="15.75" customHeight="1">
      <c r="A550" s="43"/>
      <c r="B550" s="43"/>
      <c r="C550" s="43"/>
      <c r="D550" s="43"/>
      <c r="E550" s="43"/>
      <c r="F550" s="43"/>
      <c r="G550" s="43"/>
    </row>
    <row r="551" spans="1:7" ht="15.75" customHeight="1">
      <c r="A551" s="43"/>
      <c r="B551" s="43"/>
      <c r="C551" s="43"/>
      <c r="D551" s="43"/>
      <c r="E551" s="43"/>
      <c r="F551" s="43"/>
      <c r="G551" s="43"/>
    </row>
    <row r="552" spans="1:7" ht="15.75" customHeight="1">
      <c r="A552" s="43"/>
      <c r="B552" s="43"/>
      <c r="C552" s="43"/>
      <c r="D552" s="43"/>
      <c r="E552" s="43"/>
      <c r="F552" s="43"/>
      <c r="G552" s="43"/>
    </row>
    <row r="553" spans="1:7" ht="15.75" customHeight="1">
      <c r="A553" s="43"/>
      <c r="B553" s="43"/>
      <c r="C553" s="43"/>
      <c r="D553" s="43"/>
      <c r="E553" s="43"/>
      <c r="F553" s="43"/>
      <c r="G553" s="43"/>
    </row>
    <row r="554" spans="1:7" ht="15.75" customHeight="1">
      <c r="A554" s="43"/>
      <c r="B554" s="43"/>
      <c r="C554" s="43"/>
      <c r="D554" s="43"/>
      <c r="E554" s="43"/>
      <c r="F554" s="43"/>
      <c r="G554" s="43"/>
    </row>
    <row r="555" spans="1:7" ht="15.75" customHeight="1">
      <c r="A555" s="43"/>
      <c r="B555" s="43"/>
      <c r="C555" s="43"/>
      <c r="D555" s="43"/>
      <c r="E555" s="43"/>
      <c r="F555" s="43"/>
      <c r="G555" s="43"/>
    </row>
    <row r="556" spans="1:7" ht="15.75" customHeight="1">
      <c r="A556" s="43"/>
      <c r="B556" s="43"/>
      <c r="C556" s="43"/>
      <c r="D556" s="43"/>
      <c r="E556" s="43"/>
      <c r="F556" s="43"/>
      <c r="G556" s="43"/>
    </row>
    <row r="557" spans="1:7" ht="15.75" customHeight="1">
      <c r="A557" s="43"/>
      <c r="B557" s="43"/>
      <c r="C557" s="43"/>
      <c r="D557" s="43"/>
      <c r="E557" s="43"/>
      <c r="F557" s="43"/>
      <c r="G557" s="43"/>
    </row>
    <row r="558" spans="1:7" ht="15.75" customHeight="1">
      <c r="A558" s="43"/>
      <c r="B558" s="43"/>
      <c r="C558" s="43"/>
      <c r="D558" s="43"/>
      <c r="E558" s="43"/>
      <c r="F558" s="43"/>
      <c r="G558" s="43"/>
    </row>
    <row r="559" spans="1:7" ht="15.75" customHeight="1">
      <c r="A559" s="43"/>
      <c r="B559" s="43"/>
      <c r="C559" s="43"/>
      <c r="D559" s="43"/>
      <c r="E559" s="43"/>
      <c r="F559" s="43"/>
      <c r="G559" s="43"/>
    </row>
    <row r="560" spans="1:7" ht="15.75" customHeight="1">
      <c r="A560" s="43"/>
      <c r="B560" s="43"/>
      <c r="C560" s="43"/>
      <c r="D560" s="43"/>
      <c r="E560" s="43"/>
      <c r="F560" s="43"/>
      <c r="G560" s="43"/>
    </row>
    <row r="561" spans="1:7" ht="15.75" customHeight="1">
      <c r="A561" s="43"/>
      <c r="B561" s="43"/>
      <c r="C561" s="43"/>
      <c r="D561" s="43"/>
      <c r="E561" s="43"/>
      <c r="F561" s="43"/>
      <c r="G561" s="43"/>
    </row>
    <row r="562" spans="1:7" ht="15.75" customHeight="1">
      <c r="A562" s="43"/>
      <c r="B562" s="43"/>
      <c r="C562" s="43"/>
      <c r="D562" s="43"/>
      <c r="E562" s="43"/>
      <c r="F562" s="43"/>
      <c r="G562" s="43"/>
    </row>
    <row r="563" spans="1:7" ht="15.75" customHeight="1">
      <c r="A563" s="43"/>
      <c r="B563" s="43"/>
      <c r="C563" s="43"/>
      <c r="D563" s="43"/>
      <c r="E563" s="43"/>
      <c r="F563" s="43"/>
      <c r="G563" s="43"/>
    </row>
    <row r="564" spans="1:7" ht="15.75" customHeight="1">
      <c r="A564" s="43"/>
      <c r="B564" s="43"/>
      <c r="C564" s="43"/>
      <c r="D564" s="43"/>
      <c r="E564" s="43"/>
      <c r="F564" s="43"/>
      <c r="G564" s="43"/>
    </row>
    <row r="565" spans="1:7" ht="15.75" customHeight="1">
      <c r="A565" s="43"/>
      <c r="B565" s="43"/>
      <c r="C565" s="43"/>
      <c r="D565" s="43"/>
      <c r="E565" s="43"/>
      <c r="F565" s="43"/>
      <c r="G565" s="43"/>
    </row>
    <row r="566" spans="1:7" ht="15.75" customHeight="1">
      <c r="A566" s="43"/>
      <c r="B566" s="43"/>
      <c r="C566" s="43"/>
      <c r="D566" s="43"/>
      <c r="E566" s="43"/>
      <c r="F566" s="43"/>
      <c r="G566" s="43"/>
    </row>
    <row r="567" spans="1:7" ht="15.75" customHeight="1">
      <c r="A567" s="43"/>
      <c r="B567" s="43"/>
      <c r="C567" s="43"/>
      <c r="D567" s="43"/>
      <c r="E567" s="43"/>
      <c r="F567" s="43"/>
      <c r="G567" s="43"/>
    </row>
    <row r="568" spans="1:7" ht="15.75" customHeight="1">
      <c r="A568" s="43"/>
      <c r="B568" s="43"/>
      <c r="C568" s="43"/>
      <c r="D568" s="43"/>
      <c r="E568" s="43"/>
      <c r="F568" s="43"/>
      <c r="G568" s="43"/>
    </row>
    <row r="569" spans="1:7" ht="15.75" customHeight="1">
      <c r="A569" s="43"/>
      <c r="B569" s="43"/>
      <c r="C569" s="43"/>
      <c r="D569" s="43"/>
      <c r="E569" s="43"/>
      <c r="F569" s="43"/>
      <c r="G569" s="43"/>
    </row>
    <row r="570" spans="1:7" ht="15.75" customHeight="1">
      <c r="A570" s="43"/>
      <c r="B570" s="43"/>
      <c r="C570" s="43"/>
      <c r="D570" s="43"/>
      <c r="E570" s="43"/>
      <c r="F570" s="43"/>
      <c r="G570" s="43"/>
    </row>
    <row r="571" spans="1:7" ht="15.75" customHeight="1">
      <c r="A571" s="43"/>
      <c r="B571" s="43"/>
      <c r="C571" s="43"/>
      <c r="D571" s="43"/>
      <c r="E571" s="43"/>
      <c r="F571" s="43"/>
      <c r="G571" s="43"/>
    </row>
    <row r="572" spans="1:7" ht="15.75" customHeight="1">
      <c r="A572" s="43"/>
      <c r="B572" s="43"/>
      <c r="C572" s="43"/>
      <c r="D572" s="43"/>
      <c r="E572" s="43"/>
      <c r="F572" s="43"/>
      <c r="G572" s="43"/>
    </row>
    <row r="573" spans="1:7" ht="15.75" customHeight="1">
      <c r="A573" s="43"/>
      <c r="B573" s="43"/>
      <c r="C573" s="43"/>
      <c r="D573" s="43"/>
      <c r="E573" s="43"/>
      <c r="F573" s="43"/>
      <c r="G573" s="43"/>
    </row>
    <row r="574" spans="1:7" ht="15.75" customHeight="1">
      <c r="A574" s="43"/>
      <c r="B574" s="43"/>
      <c r="C574" s="43"/>
      <c r="D574" s="43"/>
      <c r="E574" s="43"/>
      <c r="F574" s="43"/>
      <c r="G574" s="43"/>
    </row>
    <row r="575" spans="1:7" ht="15.75" customHeight="1">
      <c r="A575" s="43"/>
      <c r="B575" s="43"/>
      <c r="C575" s="43"/>
      <c r="D575" s="43"/>
      <c r="E575" s="43"/>
      <c r="F575" s="43"/>
      <c r="G575" s="43"/>
    </row>
    <row r="576" spans="1:7" ht="15.75" customHeight="1">
      <c r="A576" s="43"/>
      <c r="B576" s="43"/>
      <c r="C576" s="43"/>
      <c r="D576" s="43"/>
      <c r="E576" s="43"/>
      <c r="F576" s="43"/>
      <c r="G576" s="43"/>
    </row>
    <row r="577" spans="1:7" ht="15.75" customHeight="1">
      <c r="A577" s="43"/>
      <c r="B577" s="43"/>
      <c r="C577" s="43"/>
      <c r="D577" s="43"/>
      <c r="E577" s="43"/>
      <c r="F577" s="43"/>
      <c r="G577" s="43"/>
    </row>
    <row r="578" spans="1:7" ht="15.75" customHeight="1">
      <c r="A578" s="43"/>
      <c r="B578" s="43"/>
      <c r="C578" s="43"/>
      <c r="D578" s="43"/>
      <c r="E578" s="43"/>
      <c r="F578" s="43"/>
      <c r="G578" s="43"/>
    </row>
    <row r="579" spans="1:7" ht="15.75" customHeight="1">
      <c r="A579" s="43"/>
      <c r="B579" s="43"/>
      <c r="C579" s="43"/>
      <c r="D579" s="43"/>
      <c r="E579" s="43"/>
      <c r="F579" s="43"/>
      <c r="G579" s="43"/>
    </row>
    <row r="580" spans="1:7" ht="15.75" customHeight="1">
      <c r="A580" s="43"/>
      <c r="B580" s="43"/>
      <c r="C580" s="43"/>
      <c r="D580" s="43"/>
      <c r="E580" s="43"/>
      <c r="F580" s="43"/>
      <c r="G580" s="43"/>
    </row>
    <row r="581" spans="1:7" ht="15.75" customHeight="1">
      <c r="A581" s="43"/>
      <c r="B581" s="43"/>
      <c r="C581" s="43"/>
      <c r="D581" s="43"/>
      <c r="E581" s="43"/>
      <c r="F581" s="43"/>
      <c r="G581" s="43"/>
    </row>
    <row r="582" spans="1:7" ht="15.75" customHeight="1">
      <c r="A582" s="43"/>
      <c r="B582" s="43"/>
      <c r="C582" s="43"/>
      <c r="D582" s="43"/>
      <c r="E582" s="43"/>
      <c r="F582" s="43"/>
      <c r="G582" s="43"/>
    </row>
    <row r="583" spans="1:7" ht="15.75" customHeight="1">
      <c r="A583" s="43"/>
      <c r="B583" s="43"/>
      <c r="C583" s="43"/>
      <c r="D583" s="43"/>
      <c r="E583" s="43"/>
      <c r="F583" s="43"/>
      <c r="G583" s="43"/>
    </row>
    <row r="584" spans="1:7" ht="15.75" customHeight="1">
      <c r="A584" s="43"/>
      <c r="B584" s="43"/>
      <c r="C584" s="43"/>
      <c r="D584" s="43"/>
      <c r="E584" s="43"/>
      <c r="F584" s="43"/>
      <c r="G584" s="43"/>
    </row>
    <row r="585" spans="1:7" ht="15.75" customHeight="1">
      <c r="A585" s="43"/>
      <c r="B585" s="43"/>
      <c r="C585" s="43"/>
      <c r="D585" s="43"/>
      <c r="E585" s="43"/>
      <c r="F585" s="43"/>
      <c r="G585" s="43"/>
    </row>
    <row r="586" spans="1:7" ht="15.75" customHeight="1">
      <c r="A586" s="43"/>
      <c r="B586" s="43"/>
      <c r="C586" s="43"/>
      <c r="D586" s="43"/>
      <c r="E586" s="43"/>
      <c r="F586" s="43"/>
      <c r="G586" s="43"/>
    </row>
    <row r="587" spans="1:7" ht="15.75" customHeight="1">
      <c r="A587" s="43"/>
      <c r="B587" s="43"/>
      <c r="C587" s="43"/>
      <c r="D587" s="43"/>
      <c r="E587" s="43"/>
      <c r="F587" s="43"/>
      <c r="G587" s="43"/>
    </row>
    <row r="588" spans="1:7" ht="15.75" customHeight="1">
      <c r="A588" s="43"/>
      <c r="B588" s="43"/>
      <c r="C588" s="43"/>
      <c r="D588" s="43"/>
      <c r="E588" s="43"/>
      <c r="F588" s="43"/>
      <c r="G588" s="43"/>
    </row>
    <row r="589" spans="1:7" ht="15.75" customHeight="1">
      <c r="A589" s="43"/>
      <c r="B589" s="43"/>
      <c r="C589" s="43"/>
      <c r="D589" s="43"/>
      <c r="E589" s="43"/>
      <c r="F589" s="43"/>
      <c r="G589" s="43"/>
    </row>
    <row r="590" spans="1:7" ht="15.75" customHeight="1">
      <c r="A590" s="43"/>
      <c r="B590" s="43"/>
      <c r="C590" s="43"/>
      <c r="D590" s="43"/>
      <c r="E590" s="43"/>
      <c r="F590" s="43"/>
      <c r="G590" s="43"/>
    </row>
    <row r="591" spans="1:7" ht="15.75" customHeight="1">
      <c r="A591" s="43"/>
      <c r="B591" s="43"/>
      <c r="C591" s="43"/>
      <c r="D591" s="43"/>
      <c r="E591" s="43"/>
      <c r="F591" s="43"/>
      <c r="G591" s="43"/>
    </row>
    <row r="592" spans="1:7" ht="15.75" customHeight="1">
      <c r="A592" s="43"/>
      <c r="B592" s="43"/>
      <c r="C592" s="43"/>
      <c r="D592" s="43"/>
      <c r="E592" s="43"/>
      <c r="F592" s="43"/>
      <c r="G592" s="43"/>
    </row>
    <row r="593" spans="1:7" ht="15.75" customHeight="1">
      <c r="A593" s="43"/>
      <c r="B593" s="43"/>
      <c r="C593" s="43"/>
      <c r="D593" s="43"/>
      <c r="E593" s="43"/>
      <c r="F593" s="43"/>
      <c r="G593" s="43"/>
    </row>
    <row r="594" spans="1:7" ht="15.75" customHeight="1">
      <c r="A594" s="43"/>
      <c r="B594" s="43"/>
      <c r="C594" s="43"/>
      <c r="D594" s="43"/>
      <c r="E594" s="43"/>
      <c r="F594" s="43"/>
      <c r="G594" s="43"/>
    </row>
    <row r="595" spans="1:7" ht="15.75" customHeight="1">
      <c r="A595" s="43"/>
      <c r="B595" s="43"/>
      <c r="C595" s="43"/>
      <c r="D595" s="43"/>
      <c r="E595" s="43"/>
      <c r="F595" s="43"/>
      <c r="G595" s="43"/>
    </row>
    <row r="596" spans="1:7" ht="15.75" customHeight="1">
      <c r="A596" s="43"/>
      <c r="B596" s="43"/>
      <c r="C596" s="43"/>
      <c r="D596" s="43"/>
      <c r="E596" s="43"/>
      <c r="F596" s="43"/>
      <c r="G596" s="43"/>
    </row>
    <row r="597" spans="1:7" ht="15.75" customHeight="1">
      <c r="A597" s="43"/>
      <c r="B597" s="43"/>
      <c r="C597" s="43"/>
      <c r="D597" s="43"/>
      <c r="E597" s="43"/>
      <c r="F597" s="43"/>
      <c r="G597" s="43"/>
    </row>
    <row r="598" spans="1:7" ht="15.75" customHeight="1">
      <c r="A598" s="43"/>
      <c r="B598" s="43"/>
      <c r="C598" s="43"/>
      <c r="D598" s="43"/>
      <c r="E598" s="43"/>
      <c r="F598" s="43"/>
      <c r="G598" s="43"/>
    </row>
    <row r="599" spans="1:7" ht="15.75" customHeight="1">
      <c r="A599" s="43"/>
      <c r="B599" s="43"/>
      <c r="C599" s="43"/>
      <c r="D599" s="43"/>
      <c r="E599" s="43"/>
      <c r="F599" s="43"/>
      <c r="G599" s="43"/>
    </row>
    <row r="600" spans="1:7" ht="15.75" customHeight="1">
      <c r="A600" s="43"/>
      <c r="B600" s="43"/>
      <c r="C600" s="43"/>
      <c r="D600" s="43"/>
      <c r="E600" s="43"/>
      <c r="F600" s="43"/>
      <c r="G600" s="43"/>
    </row>
    <row r="601" spans="1:7" ht="15.75" customHeight="1">
      <c r="A601" s="43"/>
      <c r="B601" s="43"/>
      <c r="C601" s="43"/>
      <c r="D601" s="43"/>
      <c r="E601" s="43"/>
      <c r="F601" s="43"/>
      <c r="G601" s="43"/>
    </row>
    <row r="602" spans="1:7" ht="15.75" customHeight="1">
      <c r="A602" s="43"/>
      <c r="B602" s="43"/>
      <c r="C602" s="43"/>
      <c r="D602" s="43"/>
      <c r="E602" s="43"/>
      <c r="F602" s="43"/>
      <c r="G602" s="43"/>
    </row>
    <row r="603" spans="1:7" ht="15.75" customHeight="1">
      <c r="A603" s="43"/>
      <c r="B603" s="43"/>
      <c r="C603" s="43"/>
      <c r="D603" s="43"/>
      <c r="E603" s="43"/>
      <c r="F603" s="43"/>
      <c r="G603" s="43"/>
    </row>
    <row r="604" spans="1:7" ht="15.75" customHeight="1">
      <c r="A604" s="43"/>
      <c r="B604" s="43"/>
      <c r="C604" s="43"/>
      <c r="D604" s="43"/>
      <c r="E604" s="43"/>
      <c r="F604" s="43"/>
      <c r="G604" s="43"/>
    </row>
    <row r="605" spans="1:7" ht="15.75" customHeight="1">
      <c r="A605" s="43"/>
      <c r="B605" s="43"/>
      <c r="C605" s="43"/>
      <c r="D605" s="43"/>
      <c r="E605" s="43"/>
      <c r="F605" s="43"/>
      <c r="G605" s="43"/>
    </row>
    <row r="606" spans="1:7" ht="15.75" customHeight="1">
      <c r="A606" s="43"/>
      <c r="B606" s="43"/>
      <c r="C606" s="43"/>
      <c r="D606" s="43"/>
      <c r="E606" s="43"/>
      <c r="F606" s="43"/>
      <c r="G606" s="43"/>
    </row>
    <row r="607" spans="1:7" ht="15.75" customHeight="1">
      <c r="A607" s="43"/>
      <c r="B607" s="43"/>
      <c r="C607" s="43"/>
      <c r="D607" s="43"/>
      <c r="E607" s="43"/>
      <c r="F607" s="43"/>
      <c r="G607" s="43"/>
    </row>
    <row r="608" spans="1:7" ht="15.75" customHeight="1">
      <c r="A608" s="43"/>
      <c r="B608" s="43"/>
      <c r="C608" s="43"/>
      <c r="D608" s="43"/>
      <c r="E608" s="43"/>
      <c r="F608" s="43"/>
      <c r="G608" s="43"/>
    </row>
    <row r="609" spans="1:7" ht="15.75" customHeight="1">
      <c r="A609" s="43"/>
      <c r="B609" s="43"/>
      <c r="C609" s="43"/>
      <c r="D609" s="43"/>
      <c r="E609" s="43"/>
      <c r="F609" s="43"/>
      <c r="G609" s="43"/>
    </row>
    <row r="610" spans="1:7" ht="15.75" customHeight="1">
      <c r="A610" s="43"/>
      <c r="B610" s="43"/>
      <c r="C610" s="43"/>
      <c r="D610" s="43"/>
      <c r="E610" s="43"/>
      <c r="F610" s="43"/>
      <c r="G610" s="43"/>
    </row>
    <row r="611" spans="1:7" ht="15.75" customHeight="1">
      <c r="A611" s="43"/>
      <c r="B611" s="43"/>
      <c r="C611" s="43"/>
      <c r="D611" s="43"/>
      <c r="E611" s="43"/>
      <c r="F611" s="43"/>
      <c r="G611" s="43"/>
    </row>
    <row r="612" spans="1:7" ht="15.75" customHeight="1">
      <c r="A612" s="43"/>
      <c r="B612" s="43"/>
      <c r="C612" s="43"/>
      <c r="D612" s="43"/>
      <c r="E612" s="43"/>
      <c r="F612" s="43"/>
      <c r="G612" s="43"/>
    </row>
    <row r="613" spans="1:7" ht="15.75" customHeight="1">
      <c r="A613" s="43"/>
      <c r="B613" s="43"/>
      <c r="C613" s="43"/>
      <c r="D613" s="43"/>
      <c r="E613" s="43"/>
      <c r="F613" s="43"/>
      <c r="G613" s="43"/>
    </row>
    <row r="614" spans="1:7" ht="15.75" customHeight="1">
      <c r="A614" s="43"/>
      <c r="B614" s="43"/>
      <c r="C614" s="43"/>
      <c r="D614" s="43"/>
      <c r="E614" s="43"/>
      <c r="F614" s="43"/>
      <c r="G614" s="43"/>
    </row>
    <row r="615" spans="1:7" ht="15.75" customHeight="1">
      <c r="A615" s="43"/>
      <c r="B615" s="43"/>
      <c r="C615" s="43"/>
      <c r="D615" s="43"/>
      <c r="E615" s="43"/>
      <c r="F615" s="43"/>
      <c r="G615" s="43"/>
    </row>
    <row r="616" spans="1:7" ht="15.75" customHeight="1">
      <c r="A616" s="43"/>
      <c r="B616" s="43"/>
      <c r="C616" s="43"/>
      <c r="D616" s="43"/>
      <c r="E616" s="43"/>
      <c r="F616" s="43"/>
      <c r="G616" s="43"/>
    </row>
    <row r="617" spans="1:7" ht="15.75" customHeight="1">
      <c r="A617" s="43"/>
      <c r="B617" s="43"/>
      <c r="C617" s="43"/>
      <c r="D617" s="43"/>
      <c r="E617" s="43"/>
      <c r="F617" s="43"/>
      <c r="G617" s="43"/>
    </row>
    <row r="618" spans="1:7" ht="15.75" customHeight="1">
      <c r="A618" s="43"/>
      <c r="B618" s="43"/>
      <c r="C618" s="43"/>
      <c r="D618" s="43"/>
      <c r="E618" s="43"/>
      <c r="F618" s="43"/>
      <c r="G618" s="43"/>
    </row>
    <row r="619" spans="1:7" ht="15.75" customHeight="1">
      <c r="A619" s="43"/>
      <c r="B619" s="43"/>
      <c r="C619" s="43"/>
      <c r="D619" s="43"/>
      <c r="E619" s="43"/>
      <c r="F619" s="43"/>
      <c r="G619" s="43"/>
    </row>
    <row r="620" spans="1:7" ht="15.75" customHeight="1">
      <c r="A620" s="43"/>
      <c r="B620" s="43"/>
      <c r="C620" s="43"/>
      <c r="D620" s="43"/>
      <c r="E620" s="43"/>
      <c r="F620" s="43"/>
      <c r="G620" s="43"/>
    </row>
    <row r="621" spans="1:7" ht="15.75" customHeight="1">
      <c r="A621" s="43"/>
      <c r="B621" s="43"/>
      <c r="C621" s="43"/>
      <c r="D621" s="43"/>
      <c r="E621" s="43"/>
      <c r="F621" s="43"/>
      <c r="G621" s="43"/>
    </row>
    <row r="622" spans="1:7" ht="15.75" customHeight="1">
      <c r="A622" s="43"/>
      <c r="B622" s="43"/>
      <c r="C622" s="43"/>
      <c r="D622" s="43"/>
      <c r="E622" s="43"/>
      <c r="F622" s="43"/>
      <c r="G622" s="43"/>
    </row>
    <row r="623" spans="1:7" ht="15.75" customHeight="1">
      <c r="A623" s="43"/>
      <c r="B623" s="43"/>
      <c r="C623" s="43"/>
      <c r="D623" s="43"/>
      <c r="E623" s="43"/>
      <c r="F623" s="43"/>
      <c r="G623" s="43"/>
    </row>
    <row r="624" spans="1:7" ht="15.75" customHeight="1">
      <c r="A624" s="43"/>
      <c r="B624" s="43"/>
      <c r="C624" s="43"/>
      <c r="D624" s="43"/>
      <c r="E624" s="43"/>
      <c r="F624" s="43"/>
      <c r="G624" s="43"/>
    </row>
    <row r="625" spans="1:7" ht="15.75" customHeight="1">
      <c r="A625" s="43"/>
      <c r="B625" s="43"/>
      <c r="C625" s="43"/>
      <c r="D625" s="43"/>
      <c r="E625" s="43"/>
      <c r="F625" s="43"/>
      <c r="G625" s="43"/>
    </row>
    <row r="626" spans="1:7" ht="15.75" customHeight="1">
      <c r="A626" s="43"/>
      <c r="B626" s="43"/>
      <c r="C626" s="43"/>
      <c r="D626" s="43"/>
      <c r="E626" s="43"/>
      <c r="F626" s="43"/>
      <c r="G626" s="43"/>
    </row>
    <row r="627" spans="1:7" ht="15.75" customHeight="1">
      <c r="A627" s="43"/>
      <c r="B627" s="43"/>
      <c r="C627" s="43"/>
      <c r="D627" s="43"/>
      <c r="E627" s="43"/>
      <c r="F627" s="43"/>
      <c r="G627" s="43"/>
    </row>
    <row r="628" spans="1:7" ht="15.75" customHeight="1">
      <c r="A628" s="43"/>
      <c r="B628" s="43"/>
      <c r="C628" s="43"/>
      <c r="D628" s="43"/>
      <c r="E628" s="43"/>
      <c r="F628" s="43"/>
      <c r="G628" s="43"/>
    </row>
    <row r="629" spans="1:7" ht="15.75" customHeight="1">
      <c r="A629" s="43"/>
      <c r="B629" s="43"/>
      <c r="C629" s="43"/>
      <c r="D629" s="43"/>
      <c r="E629" s="43"/>
      <c r="F629" s="43"/>
      <c r="G629" s="43"/>
    </row>
    <row r="630" spans="1:7" ht="15.75" customHeight="1">
      <c r="A630" s="43"/>
      <c r="B630" s="43"/>
      <c r="C630" s="43"/>
      <c r="D630" s="43"/>
      <c r="E630" s="43"/>
      <c r="F630" s="43"/>
      <c r="G630" s="43"/>
    </row>
    <row r="631" spans="1:7" ht="15.75" customHeight="1">
      <c r="A631" s="43"/>
      <c r="B631" s="43"/>
      <c r="C631" s="43"/>
      <c r="D631" s="43"/>
      <c r="E631" s="43"/>
      <c r="F631" s="43"/>
      <c r="G631" s="43"/>
    </row>
    <row r="632" spans="1:7" ht="15.75" customHeight="1">
      <c r="A632" s="43"/>
      <c r="B632" s="43"/>
      <c r="C632" s="43"/>
      <c r="D632" s="43"/>
      <c r="E632" s="43"/>
      <c r="F632" s="43"/>
      <c r="G632" s="43"/>
    </row>
    <row r="633" spans="1:7" ht="15.75" customHeight="1">
      <c r="A633" s="43"/>
      <c r="B633" s="43"/>
      <c r="C633" s="43"/>
      <c r="D633" s="43"/>
      <c r="E633" s="43"/>
      <c r="F633" s="43"/>
      <c r="G633" s="43"/>
    </row>
    <row r="634" spans="1:7" ht="15.75" customHeight="1">
      <c r="A634" s="43"/>
      <c r="B634" s="43"/>
      <c r="C634" s="43"/>
      <c r="D634" s="43"/>
      <c r="E634" s="43"/>
      <c r="F634" s="43"/>
      <c r="G634" s="43"/>
    </row>
    <row r="635" spans="1:7" ht="15.75" customHeight="1">
      <c r="A635" s="43"/>
      <c r="B635" s="43"/>
      <c r="C635" s="43"/>
      <c r="D635" s="43"/>
      <c r="E635" s="43"/>
      <c r="F635" s="43"/>
      <c r="G635" s="43"/>
    </row>
    <row r="636" spans="1:7" ht="15.75" customHeight="1">
      <c r="A636" s="43"/>
      <c r="B636" s="43"/>
      <c r="C636" s="43"/>
      <c r="D636" s="43"/>
      <c r="E636" s="43"/>
      <c r="F636" s="43"/>
      <c r="G636" s="43"/>
    </row>
    <row r="637" spans="1:7" ht="15.75" customHeight="1">
      <c r="A637" s="43"/>
      <c r="B637" s="43"/>
      <c r="C637" s="43"/>
      <c r="D637" s="43"/>
      <c r="E637" s="43"/>
      <c r="F637" s="43"/>
      <c r="G637" s="43"/>
    </row>
    <row r="638" spans="1:7" ht="15.75" customHeight="1">
      <c r="A638" s="43"/>
      <c r="B638" s="43"/>
      <c r="C638" s="43"/>
      <c r="D638" s="43"/>
      <c r="E638" s="43"/>
      <c r="F638" s="43"/>
      <c r="G638" s="43"/>
    </row>
    <row r="639" spans="1:7" ht="15.75" customHeight="1">
      <c r="A639" s="43"/>
      <c r="B639" s="43"/>
      <c r="C639" s="43"/>
      <c r="D639" s="43"/>
      <c r="E639" s="43"/>
      <c r="F639" s="43"/>
      <c r="G639" s="43"/>
    </row>
    <row r="640" spans="1:7" ht="15.75" customHeight="1">
      <c r="A640" s="43"/>
      <c r="B640" s="43"/>
      <c r="C640" s="43"/>
      <c r="D640" s="43"/>
      <c r="E640" s="43"/>
      <c r="F640" s="43"/>
      <c r="G640" s="43"/>
    </row>
    <row r="641" spans="1:7" ht="15.75" customHeight="1">
      <c r="A641" s="43"/>
      <c r="B641" s="43"/>
      <c r="C641" s="43"/>
      <c r="D641" s="43"/>
      <c r="E641" s="43"/>
      <c r="F641" s="43"/>
      <c r="G641" s="43"/>
    </row>
    <row r="642" spans="1:7" ht="15.75" customHeight="1">
      <c r="A642" s="43"/>
      <c r="B642" s="43"/>
      <c r="C642" s="43"/>
      <c r="D642" s="43"/>
      <c r="E642" s="43"/>
      <c r="F642" s="43"/>
      <c r="G642" s="43"/>
    </row>
    <row r="643" spans="1:7" ht="15.75" customHeight="1">
      <c r="A643" s="43"/>
      <c r="B643" s="43"/>
      <c r="C643" s="43"/>
      <c r="D643" s="43"/>
      <c r="E643" s="43"/>
      <c r="F643" s="43"/>
      <c r="G643" s="43"/>
    </row>
    <row r="644" spans="1:7" ht="15.75" customHeight="1">
      <c r="A644" s="43"/>
      <c r="B644" s="43"/>
      <c r="C644" s="43"/>
      <c r="D644" s="43"/>
      <c r="E644" s="43"/>
      <c r="F644" s="43"/>
      <c r="G644" s="43"/>
    </row>
    <row r="645" spans="1:7" ht="15.75" customHeight="1">
      <c r="A645" s="43"/>
      <c r="B645" s="43"/>
      <c r="C645" s="43"/>
      <c r="D645" s="43"/>
      <c r="E645" s="43"/>
      <c r="F645" s="43"/>
      <c r="G645" s="43"/>
    </row>
    <row r="646" spans="1:7" ht="15.75" customHeight="1">
      <c r="A646" s="43"/>
      <c r="B646" s="43"/>
      <c r="C646" s="43"/>
      <c r="D646" s="43"/>
      <c r="E646" s="43"/>
      <c r="F646" s="43"/>
      <c r="G646" s="43"/>
    </row>
    <row r="647" spans="1:7" ht="15.75" customHeight="1">
      <c r="A647" s="43"/>
      <c r="B647" s="43"/>
      <c r="C647" s="43"/>
      <c r="D647" s="43"/>
      <c r="E647" s="43"/>
      <c r="F647" s="43"/>
      <c r="G647" s="43"/>
    </row>
    <row r="648" spans="1:7" ht="15.75" customHeight="1">
      <c r="A648" s="43"/>
      <c r="B648" s="43"/>
      <c r="C648" s="43"/>
      <c r="D648" s="43"/>
      <c r="E648" s="43"/>
      <c r="F648" s="43"/>
      <c r="G648" s="43"/>
    </row>
    <row r="649" spans="1:7" ht="15.75" customHeight="1">
      <c r="A649" s="43"/>
      <c r="B649" s="43"/>
      <c r="C649" s="43"/>
      <c r="D649" s="43"/>
      <c r="E649" s="43"/>
      <c r="F649" s="43"/>
      <c r="G649" s="43"/>
    </row>
    <row r="650" spans="1:7" ht="15.75" customHeight="1">
      <c r="A650" s="43"/>
      <c r="B650" s="43"/>
      <c r="C650" s="43"/>
      <c r="D650" s="43"/>
      <c r="E650" s="43"/>
      <c r="F650" s="43"/>
      <c r="G650" s="43"/>
    </row>
    <row r="651" spans="1:7" ht="15.75" customHeight="1">
      <c r="A651" s="43"/>
      <c r="B651" s="43"/>
      <c r="C651" s="43"/>
      <c r="D651" s="43"/>
      <c r="E651" s="43"/>
      <c r="F651" s="43"/>
      <c r="G651" s="43"/>
    </row>
    <row r="652" spans="1:7" ht="15.75" customHeight="1">
      <c r="A652" s="43"/>
      <c r="B652" s="43"/>
      <c r="C652" s="43"/>
      <c r="D652" s="43"/>
      <c r="E652" s="43"/>
      <c r="F652" s="43"/>
      <c r="G652" s="43"/>
    </row>
    <row r="653" spans="1:7" ht="15.75" customHeight="1">
      <c r="A653" s="43"/>
      <c r="B653" s="43"/>
      <c r="C653" s="43"/>
      <c r="D653" s="43"/>
      <c r="E653" s="43"/>
      <c r="F653" s="43"/>
      <c r="G653" s="43"/>
    </row>
    <row r="654" spans="1:7" ht="15.75" customHeight="1">
      <c r="A654" s="43"/>
      <c r="B654" s="43"/>
      <c r="C654" s="43"/>
      <c r="D654" s="43"/>
      <c r="E654" s="43"/>
      <c r="F654" s="43"/>
      <c r="G654" s="43"/>
    </row>
    <row r="655" spans="1:7" ht="15.75" customHeight="1">
      <c r="A655" s="43"/>
      <c r="B655" s="43"/>
      <c r="C655" s="43"/>
      <c r="D655" s="43"/>
      <c r="E655" s="43"/>
      <c r="F655" s="43"/>
      <c r="G655" s="43"/>
    </row>
    <row r="656" spans="1:7" ht="15.75" customHeight="1">
      <c r="A656" s="43"/>
      <c r="B656" s="43"/>
      <c r="C656" s="43"/>
      <c r="D656" s="43"/>
      <c r="E656" s="43"/>
      <c r="F656" s="43"/>
      <c r="G656" s="43"/>
    </row>
    <row r="657" spans="1:7" ht="15.75" customHeight="1">
      <c r="A657" s="43"/>
      <c r="B657" s="43"/>
      <c r="C657" s="43"/>
      <c r="D657" s="43"/>
      <c r="E657" s="43"/>
      <c r="F657" s="43"/>
      <c r="G657" s="43"/>
    </row>
    <row r="658" spans="1:7" ht="15.75" customHeight="1">
      <c r="A658" s="43"/>
      <c r="B658" s="43"/>
      <c r="C658" s="43"/>
      <c r="D658" s="43"/>
      <c r="E658" s="43"/>
      <c r="F658" s="43"/>
      <c r="G658" s="43"/>
    </row>
    <row r="659" spans="1:7" ht="15.75" customHeight="1">
      <c r="A659" s="43"/>
      <c r="B659" s="43"/>
      <c r="C659" s="43"/>
      <c r="D659" s="43"/>
      <c r="E659" s="43"/>
      <c r="F659" s="43"/>
      <c r="G659" s="43"/>
    </row>
    <row r="660" spans="1:7" ht="15.75" customHeight="1">
      <c r="A660" s="43"/>
      <c r="B660" s="43"/>
      <c r="C660" s="43"/>
      <c r="D660" s="43"/>
      <c r="E660" s="43"/>
      <c r="F660" s="43"/>
      <c r="G660" s="43"/>
    </row>
    <row r="661" spans="1:7" ht="15.75" customHeight="1">
      <c r="A661" s="43"/>
      <c r="B661" s="43"/>
      <c r="C661" s="43"/>
      <c r="D661" s="43"/>
      <c r="E661" s="43"/>
      <c r="F661" s="43"/>
      <c r="G661" s="43"/>
    </row>
    <row r="662" spans="1:7" ht="15.75" customHeight="1">
      <c r="A662" s="43"/>
      <c r="B662" s="43"/>
      <c r="C662" s="43"/>
      <c r="D662" s="43"/>
      <c r="E662" s="43"/>
      <c r="F662" s="43"/>
      <c r="G662" s="43"/>
    </row>
    <row r="663" spans="1:7" ht="15.75" customHeight="1">
      <c r="A663" s="43"/>
      <c r="B663" s="43"/>
      <c r="C663" s="43"/>
      <c r="D663" s="43"/>
      <c r="E663" s="43"/>
      <c r="F663" s="43"/>
      <c r="G663" s="43"/>
    </row>
    <row r="664" spans="1:7" ht="15.75" customHeight="1">
      <c r="A664" s="43"/>
      <c r="B664" s="43"/>
      <c r="C664" s="43"/>
      <c r="D664" s="43"/>
      <c r="E664" s="43"/>
      <c r="F664" s="43"/>
      <c r="G664" s="43"/>
    </row>
    <row r="665" spans="1:7" ht="15.75" customHeight="1">
      <c r="A665" s="43"/>
      <c r="B665" s="43"/>
      <c r="C665" s="43"/>
      <c r="D665" s="43"/>
      <c r="E665" s="43"/>
      <c r="F665" s="43"/>
      <c r="G665" s="43"/>
    </row>
    <row r="666" spans="1:7" ht="15.75" customHeight="1">
      <c r="A666" s="43"/>
      <c r="B666" s="43"/>
      <c r="C666" s="43"/>
      <c r="D666" s="43"/>
      <c r="E666" s="43"/>
      <c r="F666" s="43"/>
      <c r="G666" s="43"/>
    </row>
    <row r="667" spans="1:7" ht="15.75" customHeight="1">
      <c r="A667" s="43"/>
      <c r="B667" s="43"/>
      <c r="C667" s="43"/>
      <c r="D667" s="43"/>
      <c r="E667" s="43"/>
      <c r="F667" s="43"/>
      <c r="G667" s="43"/>
    </row>
    <row r="668" spans="1:7" ht="15.75" customHeight="1">
      <c r="A668" s="43"/>
      <c r="B668" s="43"/>
      <c r="C668" s="43"/>
      <c r="D668" s="43"/>
      <c r="E668" s="43"/>
      <c r="F668" s="43"/>
      <c r="G668" s="43"/>
    </row>
    <row r="669" spans="1:7" ht="15.75" customHeight="1">
      <c r="A669" s="43"/>
      <c r="B669" s="43"/>
      <c r="C669" s="43"/>
      <c r="D669" s="43"/>
      <c r="E669" s="43"/>
      <c r="F669" s="43"/>
      <c r="G669" s="43"/>
    </row>
    <row r="670" spans="1:7" ht="15.75" customHeight="1">
      <c r="A670" s="43"/>
      <c r="B670" s="43"/>
      <c r="C670" s="43"/>
      <c r="D670" s="43"/>
      <c r="E670" s="43"/>
      <c r="F670" s="43"/>
      <c r="G670" s="43"/>
    </row>
    <row r="671" spans="1:7" ht="15.75" customHeight="1">
      <c r="A671" s="43"/>
      <c r="B671" s="43"/>
      <c r="C671" s="43"/>
      <c r="D671" s="43"/>
      <c r="E671" s="43"/>
      <c r="F671" s="43"/>
      <c r="G671" s="43"/>
    </row>
    <row r="672" spans="1:7" ht="15.75" customHeight="1">
      <c r="A672" s="43"/>
      <c r="B672" s="43"/>
      <c r="C672" s="43"/>
      <c r="D672" s="43"/>
      <c r="E672" s="43"/>
      <c r="F672" s="43"/>
      <c r="G672" s="43"/>
    </row>
    <row r="673" spans="1:7" ht="15.75" customHeight="1">
      <c r="A673" s="43"/>
      <c r="B673" s="43"/>
      <c r="C673" s="43"/>
      <c r="D673" s="43"/>
      <c r="E673" s="43"/>
      <c r="F673" s="43"/>
      <c r="G673" s="43"/>
    </row>
    <row r="674" spans="1:7" ht="15.75" customHeight="1">
      <c r="A674" s="43"/>
      <c r="B674" s="43"/>
      <c r="C674" s="43"/>
      <c r="D674" s="43"/>
      <c r="E674" s="43"/>
      <c r="F674" s="43"/>
      <c r="G674" s="43"/>
    </row>
    <row r="675" spans="1:7" ht="15.75" customHeight="1">
      <c r="A675" s="43"/>
      <c r="B675" s="43"/>
      <c r="C675" s="43"/>
      <c r="D675" s="43"/>
      <c r="E675" s="43"/>
      <c r="F675" s="43"/>
      <c r="G675" s="43"/>
    </row>
    <row r="676" spans="1:7" ht="15.75" customHeight="1">
      <c r="A676" s="43"/>
      <c r="B676" s="43"/>
      <c r="C676" s="43"/>
      <c r="D676" s="43"/>
      <c r="E676" s="43"/>
      <c r="F676" s="43"/>
      <c r="G676" s="43"/>
    </row>
    <row r="677" spans="1:7" ht="15.75" customHeight="1">
      <c r="A677" s="43"/>
      <c r="B677" s="43"/>
      <c r="C677" s="43"/>
      <c r="D677" s="43"/>
      <c r="E677" s="43"/>
      <c r="F677" s="43"/>
      <c r="G677" s="43"/>
    </row>
    <row r="678" spans="1:7" ht="15.75" customHeight="1">
      <c r="A678" s="43"/>
      <c r="B678" s="43"/>
      <c r="C678" s="43"/>
      <c r="D678" s="43"/>
      <c r="E678" s="43"/>
      <c r="F678" s="43"/>
      <c r="G678" s="43"/>
    </row>
    <row r="679" spans="1:7" ht="15.75" customHeight="1">
      <c r="A679" s="43"/>
      <c r="B679" s="43"/>
      <c r="C679" s="43"/>
      <c r="D679" s="43"/>
      <c r="E679" s="43"/>
      <c r="F679" s="43"/>
      <c r="G679" s="43"/>
    </row>
    <row r="680" spans="1:7" ht="15.75" customHeight="1">
      <c r="A680" s="43"/>
      <c r="B680" s="43"/>
      <c r="C680" s="43"/>
      <c r="D680" s="43"/>
      <c r="E680" s="43"/>
      <c r="F680" s="43"/>
      <c r="G680" s="43"/>
    </row>
    <row r="681" spans="1:7" ht="15.75" customHeight="1">
      <c r="A681" s="43"/>
      <c r="B681" s="43"/>
      <c r="C681" s="43"/>
      <c r="D681" s="43"/>
      <c r="E681" s="43"/>
      <c r="F681" s="43"/>
      <c r="G681" s="43"/>
    </row>
    <row r="682" spans="1:7" ht="15.75" customHeight="1">
      <c r="A682" s="43"/>
      <c r="B682" s="43"/>
      <c r="C682" s="43"/>
      <c r="D682" s="43"/>
      <c r="E682" s="43"/>
      <c r="F682" s="43"/>
      <c r="G682" s="43"/>
    </row>
    <row r="683" spans="1:7" ht="15.75" customHeight="1">
      <c r="A683" s="43"/>
      <c r="B683" s="43"/>
      <c r="C683" s="43"/>
      <c r="D683" s="43"/>
      <c r="E683" s="43"/>
      <c r="F683" s="43"/>
      <c r="G683" s="43"/>
    </row>
    <row r="684" spans="1:7" ht="15.75" customHeight="1">
      <c r="A684" s="43"/>
      <c r="B684" s="43"/>
      <c r="C684" s="43"/>
      <c r="D684" s="43"/>
      <c r="E684" s="43"/>
      <c r="F684" s="43"/>
      <c r="G684" s="43"/>
    </row>
    <row r="685" spans="1:7" ht="15.75" customHeight="1">
      <c r="A685" s="43"/>
      <c r="B685" s="43"/>
      <c r="C685" s="43"/>
      <c r="D685" s="43"/>
      <c r="E685" s="43"/>
      <c r="F685" s="43"/>
      <c r="G685" s="43"/>
    </row>
    <row r="686" spans="1:7" ht="15.75" customHeight="1">
      <c r="A686" s="43"/>
      <c r="B686" s="43"/>
      <c r="C686" s="43"/>
      <c r="D686" s="43"/>
      <c r="E686" s="43"/>
      <c r="F686" s="43"/>
      <c r="G686" s="43"/>
    </row>
    <row r="687" spans="1:7" ht="15.75" customHeight="1">
      <c r="A687" s="43"/>
      <c r="B687" s="43"/>
      <c r="C687" s="43"/>
      <c r="D687" s="43"/>
      <c r="E687" s="43"/>
      <c r="F687" s="43"/>
      <c r="G687" s="43"/>
    </row>
    <row r="688" spans="1:7" ht="15.75" customHeight="1">
      <c r="A688" s="43"/>
      <c r="B688" s="43"/>
      <c r="C688" s="43"/>
      <c r="D688" s="43"/>
      <c r="E688" s="43"/>
      <c r="F688" s="43"/>
      <c r="G688" s="43"/>
    </row>
    <row r="689" spans="1:7" ht="15.75" customHeight="1">
      <c r="A689" s="43"/>
      <c r="B689" s="43"/>
      <c r="C689" s="43"/>
      <c r="D689" s="43"/>
      <c r="E689" s="43"/>
      <c r="F689" s="43"/>
      <c r="G689" s="43"/>
    </row>
    <row r="690" spans="1:7" ht="15.75" customHeight="1">
      <c r="A690" s="43"/>
      <c r="B690" s="43"/>
      <c r="C690" s="43"/>
      <c r="D690" s="43"/>
      <c r="E690" s="43"/>
      <c r="F690" s="43"/>
      <c r="G690" s="43"/>
    </row>
    <row r="691" spans="1:7" ht="15.75" customHeight="1">
      <c r="A691" s="43"/>
      <c r="B691" s="43"/>
      <c r="C691" s="43"/>
      <c r="D691" s="43"/>
      <c r="E691" s="43"/>
      <c r="F691" s="43"/>
      <c r="G691" s="43"/>
    </row>
    <row r="692" spans="1:7" ht="15.75" customHeight="1">
      <c r="A692" s="43"/>
      <c r="B692" s="43"/>
      <c r="C692" s="43"/>
      <c r="D692" s="43"/>
      <c r="E692" s="43"/>
      <c r="F692" s="43"/>
      <c r="G692" s="43"/>
    </row>
    <row r="693" spans="1:7" ht="15.75" customHeight="1">
      <c r="A693" s="43"/>
      <c r="B693" s="43"/>
      <c r="C693" s="43"/>
      <c r="D693" s="43"/>
      <c r="E693" s="43"/>
      <c r="F693" s="43"/>
      <c r="G693" s="43"/>
    </row>
    <row r="694" spans="1:7" ht="15.75" customHeight="1">
      <c r="A694" s="43"/>
      <c r="B694" s="43"/>
      <c r="C694" s="43"/>
      <c r="D694" s="43"/>
      <c r="E694" s="43"/>
      <c r="F694" s="43"/>
      <c r="G694" s="43"/>
    </row>
    <row r="695" spans="1:7" ht="15.75" customHeight="1">
      <c r="A695" s="43"/>
      <c r="B695" s="43"/>
      <c r="C695" s="43"/>
      <c r="D695" s="43"/>
      <c r="E695" s="43"/>
      <c r="F695" s="43"/>
      <c r="G695" s="43"/>
    </row>
    <row r="696" spans="1:7" ht="15.75" customHeight="1">
      <c r="A696" s="43"/>
      <c r="B696" s="43"/>
      <c r="C696" s="43"/>
      <c r="D696" s="43"/>
      <c r="E696" s="43"/>
      <c r="F696" s="43"/>
      <c r="G696" s="43"/>
    </row>
    <row r="697" spans="1:7" ht="15.75" customHeight="1">
      <c r="A697" s="43"/>
      <c r="B697" s="43"/>
      <c r="C697" s="43"/>
      <c r="D697" s="43"/>
      <c r="E697" s="43"/>
      <c r="F697" s="43"/>
      <c r="G697" s="43"/>
    </row>
    <row r="698" spans="1:7" ht="15.75" customHeight="1">
      <c r="A698" s="43"/>
      <c r="B698" s="43"/>
      <c r="C698" s="43"/>
      <c r="D698" s="43"/>
      <c r="E698" s="43"/>
      <c r="F698" s="43"/>
      <c r="G698" s="43"/>
    </row>
    <row r="699" spans="1:7" ht="15.75" customHeight="1">
      <c r="A699" s="43"/>
      <c r="B699" s="43"/>
      <c r="C699" s="43"/>
      <c r="D699" s="43"/>
      <c r="E699" s="43"/>
      <c r="F699" s="43"/>
      <c r="G699" s="43"/>
    </row>
    <row r="700" spans="1:7" ht="15.75" customHeight="1">
      <c r="A700" s="43"/>
      <c r="B700" s="43"/>
      <c r="C700" s="43"/>
      <c r="D700" s="43"/>
      <c r="E700" s="43"/>
      <c r="F700" s="43"/>
      <c r="G700" s="43"/>
    </row>
    <row r="701" spans="1:7" ht="15.75" customHeight="1">
      <c r="A701" s="43"/>
      <c r="B701" s="43"/>
      <c r="C701" s="43"/>
      <c r="D701" s="43"/>
      <c r="E701" s="43"/>
      <c r="F701" s="43"/>
      <c r="G701" s="43"/>
    </row>
    <row r="702" spans="1:7" ht="15.75" customHeight="1">
      <c r="A702" s="43"/>
      <c r="B702" s="43"/>
      <c r="C702" s="43"/>
      <c r="D702" s="43"/>
      <c r="E702" s="43"/>
      <c r="F702" s="43"/>
      <c r="G702" s="43"/>
    </row>
    <row r="703" spans="1:7" ht="15.75" customHeight="1">
      <c r="A703" s="43"/>
      <c r="B703" s="43"/>
      <c r="C703" s="43"/>
      <c r="D703" s="43"/>
      <c r="E703" s="43"/>
      <c r="F703" s="43"/>
      <c r="G703" s="43"/>
    </row>
    <row r="704" spans="1:7" ht="15.75" customHeight="1">
      <c r="A704" s="43"/>
      <c r="B704" s="43"/>
      <c r="C704" s="43"/>
      <c r="D704" s="43"/>
      <c r="E704" s="43"/>
      <c r="F704" s="43"/>
      <c r="G704" s="43"/>
    </row>
    <row r="705" spans="1:7" ht="15.75" customHeight="1">
      <c r="A705" s="43"/>
      <c r="B705" s="43"/>
      <c r="C705" s="43"/>
      <c r="D705" s="43"/>
      <c r="E705" s="43"/>
      <c r="F705" s="43"/>
      <c r="G705" s="43"/>
    </row>
    <row r="706" spans="1:7" ht="15.75" customHeight="1">
      <c r="A706" s="43"/>
      <c r="B706" s="43"/>
      <c r="C706" s="43"/>
      <c r="D706" s="43"/>
      <c r="E706" s="43"/>
      <c r="F706" s="43"/>
      <c r="G706" s="43"/>
    </row>
    <row r="707" spans="1:7" ht="15.75" customHeight="1">
      <c r="A707" s="43"/>
      <c r="B707" s="43"/>
      <c r="C707" s="43"/>
      <c r="D707" s="43"/>
      <c r="E707" s="43"/>
      <c r="F707" s="43"/>
      <c r="G707" s="43"/>
    </row>
    <row r="708" spans="1:7" ht="15.75" customHeight="1">
      <c r="A708" s="43"/>
      <c r="B708" s="43"/>
      <c r="C708" s="43"/>
      <c r="D708" s="43"/>
      <c r="E708" s="43"/>
      <c r="F708" s="43"/>
      <c r="G708" s="43"/>
    </row>
    <row r="709" spans="1:7" ht="15.75" customHeight="1">
      <c r="A709" s="43"/>
      <c r="B709" s="43"/>
      <c r="C709" s="43"/>
      <c r="D709" s="43"/>
      <c r="E709" s="43"/>
      <c r="F709" s="43"/>
      <c r="G709" s="43"/>
    </row>
    <row r="710" spans="1:7" ht="15.75" customHeight="1">
      <c r="A710" s="43"/>
      <c r="B710" s="43"/>
      <c r="C710" s="43"/>
      <c r="D710" s="43"/>
      <c r="E710" s="43"/>
      <c r="F710" s="43"/>
      <c r="G710" s="43"/>
    </row>
    <row r="711" spans="1:7" ht="15.75" customHeight="1">
      <c r="A711" s="43"/>
      <c r="B711" s="43"/>
      <c r="C711" s="43"/>
      <c r="D711" s="43"/>
      <c r="E711" s="43"/>
      <c r="F711" s="43"/>
      <c r="G711" s="43"/>
    </row>
    <row r="712" spans="1:7" ht="15.75" customHeight="1">
      <c r="A712" s="43"/>
      <c r="B712" s="43"/>
      <c r="C712" s="43"/>
      <c r="D712" s="43"/>
      <c r="E712" s="43"/>
      <c r="F712" s="43"/>
      <c r="G712" s="43"/>
    </row>
    <row r="713" spans="1:7" ht="15.75" customHeight="1">
      <c r="A713" s="43"/>
      <c r="B713" s="43"/>
      <c r="C713" s="43"/>
      <c r="D713" s="43"/>
      <c r="E713" s="43"/>
      <c r="F713" s="43"/>
      <c r="G713" s="43"/>
    </row>
    <row r="714" spans="1:7" ht="15.75" customHeight="1">
      <c r="A714" s="43"/>
      <c r="B714" s="43"/>
      <c r="C714" s="43"/>
      <c r="D714" s="43"/>
      <c r="E714" s="43"/>
      <c r="F714" s="43"/>
      <c r="G714" s="43"/>
    </row>
    <row r="715" spans="1:7" ht="15.75" customHeight="1">
      <c r="A715" s="43"/>
      <c r="B715" s="43"/>
      <c r="C715" s="43"/>
      <c r="D715" s="43"/>
      <c r="E715" s="43"/>
      <c r="F715" s="43"/>
      <c r="G715" s="43"/>
    </row>
    <row r="716" spans="1:7" ht="15.75" customHeight="1">
      <c r="A716" s="43"/>
      <c r="B716" s="43"/>
      <c r="C716" s="43"/>
      <c r="D716" s="43"/>
      <c r="E716" s="43"/>
      <c r="F716" s="43"/>
      <c r="G716" s="43"/>
    </row>
    <row r="717" spans="1:7" ht="15.75" customHeight="1">
      <c r="A717" s="43"/>
      <c r="B717" s="43"/>
      <c r="C717" s="43"/>
      <c r="D717" s="43"/>
      <c r="E717" s="43"/>
      <c r="F717" s="43"/>
      <c r="G717" s="43"/>
    </row>
    <row r="718" spans="1:7" ht="15.75" customHeight="1">
      <c r="A718" s="43"/>
      <c r="B718" s="43"/>
      <c r="C718" s="43"/>
      <c r="D718" s="43"/>
      <c r="E718" s="43"/>
      <c r="F718" s="43"/>
      <c r="G718" s="43"/>
    </row>
    <row r="719" spans="1:7" ht="15.75" customHeight="1">
      <c r="A719" s="43"/>
      <c r="B719" s="43"/>
      <c r="C719" s="43"/>
      <c r="D719" s="43"/>
      <c r="E719" s="43"/>
      <c r="F719" s="43"/>
      <c r="G719" s="43"/>
    </row>
    <row r="720" spans="1:7" ht="15.75" customHeight="1">
      <c r="A720" s="43"/>
      <c r="B720" s="43"/>
      <c r="C720" s="43"/>
      <c r="D720" s="43"/>
      <c r="E720" s="43"/>
      <c r="F720" s="43"/>
      <c r="G720" s="43"/>
    </row>
    <row r="721" spans="1:7" ht="15.75" customHeight="1">
      <c r="A721" s="43"/>
      <c r="B721" s="43"/>
      <c r="C721" s="43"/>
      <c r="D721" s="43"/>
      <c r="E721" s="43"/>
      <c r="F721" s="43"/>
      <c r="G721" s="43"/>
    </row>
    <row r="722" spans="1:7" ht="15.75" customHeight="1">
      <c r="A722" s="43"/>
      <c r="B722" s="43"/>
      <c r="C722" s="43"/>
      <c r="D722" s="43"/>
      <c r="E722" s="43"/>
      <c r="F722" s="43"/>
      <c r="G722" s="43"/>
    </row>
    <row r="723" spans="1:7" ht="15.75" customHeight="1">
      <c r="A723" s="43"/>
      <c r="B723" s="43"/>
      <c r="C723" s="43"/>
      <c r="D723" s="43"/>
      <c r="E723" s="43"/>
      <c r="F723" s="43"/>
      <c r="G723" s="43"/>
    </row>
    <row r="724" spans="1:7" ht="15.75" customHeight="1">
      <c r="A724" s="43"/>
      <c r="B724" s="43"/>
      <c r="C724" s="43"/>
      <c r="D724" s="43"/>
      <c r="E724" s="43"/>
      <c r="F724" s="43"/>
      <c r="G724" s="43"/>
    </row>
    <row r="725" spans="1:7" ht="15.75" customHeight="1">
      <c r="A725" s="43"/>
      <c r="B725" s="43"/>
      <c r="C725" s="43"/>
      <c r="D725" s="43"/>
      <c r="E725" s="43"/>
      <c r="F725" s="43"/>
      <c r="G725" s="43"/>
    </row>
    <row r="726" spans="1:7" ht="15.75" customHeight="1">
      <c r="A726" s="43"/>
      <c r="B726" s="43"/>
      <c r="C726" s="43"/>
      <c r="D726" s="43"/>
      <c r="E726" s="43"/>
      <c r="F726" s="43"/>
      <c r="G726" s="43"/>
    </row>
    <row r="727" spans="1:7" ht="15.75" customHeight="1">
      <c r="A727" s="43"/>
      <c r="B727" s="43"/>
      <c r="C727" s="43"/>
      <c r="D727" s="43"/>
      <c r="E727" s="43"/>
      <c r="F727" s="43"/>
      <c r="G727" s="43"/>
    </row>
    <row r="728" spans="1:7" ht="15.75" customHeight="1">
      <c r="A728" s="43"/>
      <c r="B728" s="43"/>
      <c r="C728" s="43"/>
      <c r="D728" s="43"/>
      <c r="E728" s="43"/>
      <c r="F728" s="43"/>
      <c r="G728" s="43"/>
    </row>
    <row r="729" spans="1:7" ht="15.75" customHeight="1">
      <c r="A729" s="43"/>
      <c r="B729" s="43"/>
      <c r="C729" s="43"/>
      <c r="D729" s="43"/>
      <c r="E729" s="43"/>
      <c r="F729" s="43"/>
      <c r="G729" s="43"/>
    </row>
    <row r="730" spans="1:7" ht="15.75" customHeight="1">
      <c r="A730" s="43"/>
      <c r="B730" s="43"/>
      <c r="C730" s="43"/>
      <c r="D730" s="43"/>
      <c r="E730" s="43"/>
      <c r="F730" s="43"/>
      <c r="G730" s="43"/>
    </row>
    <row r="731" spans="1:7" ht="15.75" customHeight="1">
      <c r="A731" s="43"/>
      <c r="B731" s="43"/>
      <c r="C731" s="43"/>
      <c r="D731" s="43"/>
      <c r="E731" s="43"/>
      <c r="F731" s="43"/>
      <c r="G731" s="43"/>
    </row>
    <row r="732" spans="1:7" ht="15.75" customHeight="1">
      <c r="A732" s="43"/>
      <c r="B732" s="43"/>
      <c r="C732" s="43"/>
      <c r="D732" s="43"/>
      <c r="E732" s="43"/>
      <c r="F732" s="43"/>
      <c r="G732" s="43"/>
    </row>
    <row r="733" spans="1:7" ht="15.75" customHeight="1">
      <c r="A733" s="43"/>
      <c r="B733" s="43"/>
      <c r="C733" s="43"/>
      <c r="D733" s="43"/>
      <c r="E733" s="43"/>
      <c r="F733" s="43"/>
      <c r="G733" s="43"/>
    </row>
    <row r="734" spans="1:7" ht="15.75" customHeight="1">
      <c r="A734" s="43"/>
      <c r="B734" s="43"/>
      <c r="C734" s="43"/>
      <c r="D734" s="43"/>
      <c r="E734" s="43"/>
      <c r="F734" s="43"/>
      <c r="G734" s="43"/>
    </row>
    <row r="735" spans="1:7" ht="15.75" customHeight="1">
      <c r="A735" s="43"/>
      <c r="B735" s="43"/>
      <c r="C735" s="43"/>
      <c r="D735" s="43"/>
      <c r="E735" s="43"/>
      <c r="F735" s="43"/>
      <c r="G735" s="43"/>
    </row>
    <row r="736" spans="1:7" ht="15.75" customHeight="1">
      <c r="A736" s="43"/>
      <c r="B736" s="43"/>
      <c r="C736" s="43"/>
      <c r="D736" s="43"/>
      <c r="E736" s="43"/>
      <c r="F736" s="43"/>
      <c r="G736" s="43"/>
    </row>
    <row r="737" spans="1:7" ht="15.75" customHeight="1">
      <c r="A737" s="43"/>
      <c r="B737" s="43"/>
      <c r="C737" s="43"/>
      <c r="D737" s="43"/>
      <c r="E737" s="43"/>
      <c r="F737" s="43"/>
      <c r="G737" s="43"/>
    </row>
    <row r="738" spans="1:7" ht="15.75" customHeight="1">
      <c r="A738" s="43"/>
      <c r="B738" s="43"/>
      <c r="C738" s="43"/>
      <c r="D738" s="43"/>
      <c r="E738" s="43"/>
      <c r="F738" s="43"/>
      <c r="G738" s="43"/>
    </row>
    <row r="739" spans="1:7" ht="15.75" customHeight="1">
      <c r="A739" s="43"/>
      <c r="B739" s="43"/>
      <c r="C739" s="43"/>
      <c r="D739" s="43"/>
      <c r="E739" s="43"/>
      <c r="F739" s="43"/>
      <c r="G739" s="43"/>
    </row>
    <row r="740" spans="1:7" ht="15.75" customHeight="1">
      <c r="A740" s="43"/>
      <c r="B740" s="43"/>
      <c r="C740" s="43"/>
      <c r="D740" s="43"/>
      <c r="E740" s="43"/>
      <c r="F740" s="43"/>
      <c r="G740" s="43"/>
    </row>
    <row r="741" spans="1:7" ht="15.75" customHeight="1">
      <c r="A741" s="43"/>
      <c r="B741" s="43"/>
      <c r="C741" s="43"/>
      <c r="D741" s="43"/>
      <c r="E741" s="43"/>
      <c r="F741" s="43"/>
      <c r="G741" s="43"/>
    </row>
    <row r="742" spans="1:7" ht="15.75" customHeight="1">
      <c r="A742" s="43"/>
      <c r="B742" s="43"/>
      <c r="C742" s="43"/>
      <c r="D742" s="43"/>
      <c r="E742" s="43"/>
      <c r="F742" s="43"/>
      <c r="G742" s="43"/>
    </row>
    <row r="743" spans="1:7" ht="15.75" customHeight="1">
      <c r="A743" s="43"/>
      <c r="B743" s="43"/>
      <c r="C743" s="43"/>
      <c r="D743" s="43"/>
      <c r="E743" s="43"/>
      <c r="F743" s="43"/>
      <c r="G743" s="43"/>
    </row>
    <row r="744" spans="1:7" ht="15.75" customHeight="1">
      <c r="A744" s="43"/>
      <c r="B744" s="43"/>
      <c r="C744" s="43"/>
      <c r="D744" s="43"/>
      <c r="E744" s="43"/>
      <c r="F744" s="43"/>
      <c r="G744" s="43"/>
    </row>
    <row r="745" spans="1:7" ht="15.75" customHeight="1">
      <c r="A745" s="43"/>
      <c r="B745" s="43"/>
      <c r="C745" s="43"/>
      <c r="D745" s="43"/>
      <c r="E745" s="43"/>
      <c r="F745" s="43"/>
      <c r="G745" s="43"/>
    </row>
    <row r="746" spans="1:7" ht="15.75" customHeight="1">
      <c r="A746" s="43"/>
      <c r="B746" s="43"/>
      <c r="C746" s="43"/>
      <c r="D746" s="43"/>
      <c r="E746" s="43"/>
      <c r="F746" s="43"/>
      <c r="G746" s="43"/>
    </row>
    <row r="747" spans="1:7" ht="15.75" customHeight="1">
      <c r="A747" s="43"/>
      <c r="B747" s="43"/>
      <c r="C747" s="43"/>
      <c r="D747" s="43"/>
      <c r="E747" s="43"/>
      <c r="F747" s="43"/>
      <c r="G747" s="43"/>
    </row>
    <row r="748" spans="1:7" ht="15.75" customHeight="1">
      <c r="A748" s="43"/>
      <c r="B748" s="43"/>
      <c r="C748" s="43"/>
      <c r="D748" s="43"/>
      <c r="E748" s="43"/>
      <c r="F748" s="43"/>
      <c r="G748" s="43"/>
    </row>
    <row r="749" spans="1:7" ht="15.75" customHeight="1">
      <c r="A749" s="43"/>
      <c r="B749" s="43"/>
      <c r="C749" s="43"/>
      <c r="D749" s="43"/>
      <c r="E749" s="43"/>
      <c r="F749" s="43"/>
      <c r="G749" s="43"/>
    </row>
    <row r="750" spans="1:7" ht="15.75" customHeight="1">
      <c r="A750" s="43"/>
      <c r="B750" s="43"/>
      <c r="C750" s="43"/>
      <c r="D750" s="43"/>
      <c r="E750" s="43"/>
      <c r="F750" s="43"/>
      <c r="G750" s="43"/>
    </row>
    <row r="751" spans="1:7" ht="15.75" customHeight="1">
      <c r="A751" s="43"/>
      <c r="B751" s="43"/>
      <c r="C751" s="43"/>
      <c r="D751" s="43"/>
      <c r="E751" s="43"/>
      <c r="F751" s="43"/>
      <c r="G751" s="43"/>
    </row>
    <row r="752" spans="1:7" ht="15.75" customHeight="1">
      <c r="A752" s="43"/>
      <c r="B752" s="43"/>
      <c r="C752" s="43"/>
      <c r="D752" s="43"/>
      <c r="E752" s="43"/>
      <c r="F752" s="43"/>
      <c r="G752" s="43"/>
    </row>
    <row r="753" spans="1:7" ht="15.75" customHeight="1">
      <c r="A753" s="43"/>
      <c r="B753" s="43"/>
      <c r="C753" s="43"/>
      <c r="D753" s="43"/>
      <c r="E753" s="43"/>
      <c r="F753" s="43"/>
      <c r="G753" s="43"/>
    </row>
    <row r="754" spans="1:7" ht="15.75" customHeight="1">
      <c r="A754" s="43"/>
      <c r="B754" s="43"/>
      <c r="C754" s="43"/>
      <c r="D754" s="43"/>
      <c r="E754" s="43"/>
      <c r="F754" s="43"/>
      <c r="G754" s="43"/>
    </row>
    <row r="755" spans="1:7" ht="15.75" customHeight="1">
      <c r="A755" s="43"/>
      <c r="B755" s="43"/>
      <c r="C755" s="43"/>
      <c r="D755" s="43"/>
      <c r="E755" s="43"/>
      <c r="F755" s="43"/>
      <c r="G755" s="43"/>
    </row>
    <row r="756" spans="1:7" ht="15.75" customHeight="1">
      <c r="A756" s="43"/>
      <c r="B756" s="43"/>
      <c r="C756" s="43"/>
      <c r="D756" s="43"/>
      <c r="E756" s="43"/>
      <c r="F756" s="43"/>
      <c r="G756" s="43"/>
    </row>
    <row r="757" spans="1:7" ht="15.75" customHeight="1">
      <c r="A757" s="43"/>
      <c r="B757" s="43"/>
      <c r="C757" s="43"/>
      <c r="D757" s="43"/>
      <c r="E757" s="43"/>
      <c r="F757" s="43"/>
      <c r="G757" s="43"/>
    </row>
    <row r="758" spans="1:7" ht="15.75" customHeight="1">
      <c r="A758" s="43"/>
      <c r="B758" s="43"/>
      <c r="C758" s="43"/>
      <c r="D758" s="43"/>
      <c r="E758" s="43"/>
      <c r="F758" s="43"/>
      <c r="G758" s="43"/>
    </row>
    <row r="759" spans="1:7" ht="15.75" customHeight="1">
      <c r="A759" s="43"/>
      <c r="B759" s="43"/>
      <c r="C759" s="43"/>
      <c r="D759" s="43"/>
      <c r="E759" s="43"/>
      <c r="F759" s="43"/>
      <c r="G759" s="43"/>
    </row>
    <row r="760" spans="1:7" ht="15.75" customHeight="1">
      <c r="A760" s="43"/>
      <c r="B760" s="43"/>
      <c r="C760" s="43"/>
      <c r="D760" s="43"/>
      <c r="E760" s="43"/>
      <c r="F760" s="43"/>
      <c r="G760" s="43"/>
    </row>
    <row r="761" spans="1:7" ht="15.75" customHeight="1">
      <c r="A761" s="43"/>
      <c r="B761" s="43"/>
      <c r="C761" s="43"/>
      <c r="D761" s="43"/>
      <c r="E761" s="43"/>
      <c r="F761" s="43"/>
      <c r="G761" s="43"/>
    </row>
    <row r="762" spans="1:7" ht="15.75" customHeight="1">
      <c r="A762" s="43"/>
      <c r="B762" s="43"/>
      <c r="C762" s="43"/>
      <c r="D762" s="43"/>
      <c r="E762" s="43"/>
      <c r="F762" s="43"/>
      <c r="G762" s="43"/>
    </row>
    <row r="763" spans="1:7" ht="15.75" customHeight="1">
      <c r="A763" s="43"/>
      <c r="B763" s="43"/>
      <c r="C763" s="43"/>
      <c r="D763" s="43"/>
      <c r="E763" s="43"/>
      <c r="F763" s="43"/>
      <c r="G763" s="43"/>
    </row>
    <row r="764" spans="1:7" ht="15.75" customHeight="1">
      <c r="A764" s="43"/>
      <c r="B764" s="43"/>
      <c r="C764" s="43"/>
      <c r="D764" s="43"/>
      <c r="E764" s="43"/>
      <c r="F764" s="43"/>
      <c r="G764" s="43"/>
    </row>
    <row r="765" spans="1:7" ht="15.75" customHeight="1">
      <c r="A765" s="43"/>
      <c r="B765" s="43"/>
      <c r="C765" s="43"/>
      <c r="D765" s="43"/>
      <c r="E765" s="43"/>
      <c r="F765" s="43"/>
      <c r="G765" s="43"/>
    </row>
    <row r="766" spans="1:7" ht="15.75" customHeight="1">
      <c r="A766" s="43"/>
      <c r="B766" s="43"/>
      <c r="C766" s="43"/>
      <c r="D766" s="43"/>
      <c r="E766" s="43"/>
      <c r="F766" s="43"/>
      <c r="G766" s="43"/>
    </row>
    <row r="767" spans="1:7" ht="15.75" customHeight="1">
      <c r="A767" s="43"/>
      <c r="B767" s="43"/>
      <c r="C767" s="43"/>
      <c r="D767" s="43"/>
      <c r="E767" s="43"/>
      <c r="F767" s="43"/>
      <c r="G767" s="43"/>
    </row>
    <row r="768" spans="1:7" ht="15.75" customHeight="1">
      <c r="A768" s="43"/>
      <c r="B768" s="43"/>
      <c r="C768" s="43"/>
      <c r="D768" s="43"/>
      <c r="E768" s="43"/>
      <c r="F768" s="43"/>
      <c r="G768" s="43"/>
    </row>
    <row r="769" spans="1:7" ht="15.75" customHeight="1">
      <c r="A769" s="43"/>
      <c r="B769" s="43"/>
      <c r="C769" s="43"/>
      <c r="D769" s="43"/>
      <c r="E769" s="43"/>
      <c r="F769" s="43"/>
      <c r="G769" s="43"/>
    </row>
    <row r="770" spans="1:7" ht="15.75" customHeight="1">
      <c r="A770" s="43"/>
      <c r="B770" s="43"/>
      <c r="C770" s="43"/>
      <c r="D770" s="43"/>
      <c r="E770" s="43"/>
      <c r="F770" s="43"/>
      <c r="G770" s="43"/>
    </row>
    <row r="771" spans="1:7" ht="15.75" customHeight="1">
      <c r="A771" s="43"/>
      <c r="B771" s="43"/>
      <c r="C771" s="43"/>
      <c r="D771" s="43"/>
      <c r="E771" s="43"/>
      <c r="F771" s="43"/>
      <c r="G771" s="43"/>
    </row>
    <row r="772" spans="1:7" ht="15.75" customHeight="1">
      <c r="A772" s="43"/>
      <c r="B772" s="43"/>
      <c r="C772" s="43"/>
      <c r="D772" s="43"/>
      <c r="E772" s="43"/>
      <c r="F772" s="43"/>
      <c r="G772" s="43"/>
    </row>
    <row r="773" spans="1:7" ht="15.75" customHeight="1">
      <c r="A773" s="43"/>
      <c r="B773" s="43"/>
      <c r="C773" s="43"/>
      <c r="D773" s="43"/>
      <c r="E773" s="43"/>
      <c r="F773" s="43"/>
      <c r="G773" s="43"/>
    </row>
    <row r="774" spans="1:7" ht="15.75" customHeight="1">
      <c r="A774" s="43"/>
      <c r="B774" s="43"/>
      <c r="C774" s="43"/>
      <c r="D774" s="43"/>
      <c r="E774" s="43"/>
      <c r="F774" s="43"/>
      <c r="G774" s="43"/>
    </row>
    <row r="775" spans="1:7" ht="15.75" customHeight="1">
      <c r="A775" s="43"/>
      <c r="B775" s="43"/>
      <c r="C775" s="43"/>
      <c r="D775" s="43"/>
      <c r="E775" s="43"/>
      <c r="F775" s="43"/>
      <c r="G775" s="43"/>
    </row>
    <row r="776" spans="1:7" ht="15.75" customHeight="1">
      <c r="A776" s="43"/>
      <c r="B776" s="43"/>
      <c r="C776" s="43"/>
      <c r="D776" s="43"/>
      <c r="E776" s="43"/>
      <c r="F776" s="43"/>
      <c r="G776" s="43"/>
    </row>
    <row r="777" spans="1:7" ht="15.75" customHeight="1">
      <c r="A777" s="43"/>
      <c r="B777" s="43"/>
      <c r="C777" s="43"/>
      <c r="D777" s="43"/>
      <c r="E777" s="43"/>
      <c r="F777" s="43"/>
      <c r="G777" s="43"/>
    </row>
    <row r="778" spans="1:7" ht="15.75" customHeight="1">
      <c r="A778" s="43"/>
      <c r="B778" s="43"/>
      <c r="C778" s="43"/>
      <c r="D778" s="43"/>
      <c r="E778" s="43"/>
      <c r="F778" s="43"/>
      <c r="G778" s="43"/>
    </row>
    <row r="779" spans="1:7" ht="15.75" customHeight="1">
      <c r="A779" s="43"/>
      <c r="B779" s="43"/>
      <c r="C779" s="43"/>
      <c r="D779" s="43"/>
      <c r="E779" s="43"/>
      <c r="F779" s="43"/>
      <c r="G779" s="43"/>
    </row>
    <row r="780" spans="1:7" ht="15.75" customHeight="1">
      <c r="A780" s="43"/>
      <c r="B780" s="43"/>
      <c r="C780" s="43"/>
      <c r="D780" s="43"/>
      <c r="E780" s="43"/>
      <c r="F780" s="43"/>
      <c r="G780" s="43"/>
    </row>
    <row r="781" spans="1:7" ht="15.75" customHeight="1">
      <c r="A781" s="43"/>
      <c r="B781" s="43"/>
      <c r="C781" s="43"/>
      <c r="D781" s="43"/>
      <c r="E781" s="43"/>
      <c r="F781" s="43"/>
      <c r="G781" s="43"/>
    </row>
    <row r="782" spans="1:7" ht="15.75" customHeight="1">
      <c r="A782" s="43"/>
      <c r="B782" s="43"/>
      <c r="C782" s="43"/>
      <c r="D782" s="43"/>
      <c r="E782" s="43"/>
      <c r="F782" s="43"/>
      <c r="G782" s="43"/>
    </row>
    <row r="783" spans="1:7" ht="15.75" customHeight="1">
      <c r="A783" s="43"/>
      <c r="B783" s="43"/>
      <c r="C783" s="43"/>
      <c r="D783" s="43"/>
      <c r="E783" s="43"/>
      <c r="F783" s="43"/>
      <c r="G783" s="43"/>
    </row>
    <row r="784" spans="1:7" ht="15.75" customHeight="1">
      <c r="A784" s="43"/>
      <c r="B784" s="43"/>
      <c r="C784" s="43"/>
      <c r="D784" s="43"/>
      <c r="E784" s="43"/>
      <c r="F784" s="43"/>
      <c r="G784" s="43"/>
    </row>
    <row r="785" spans="1:7" ht="15.75" customHeight="1">
      <c r="A785" s="43"/>
      <c r="B785" s="43"/>
      <c r="C785" s="43"/>
      <c r="D785" s="43"/>
      <c r="E785" s="43"/>
      <c r="F785" s="43"/>
      <c r="G785" s="43"/>
    </row>
    <row r="786" spans="1:7" ht="15.75" customHeight="1">
      <c r="A786" s="43"/>
      <c r="B786" s="43"/>
      <c r="C786" s="43"/>
      <c r="D786" s="43"/>
      <c r="E786" s="43"/>
      <c r="F786" s="43"/>
      <c r="G786" s="43"/>
    </row>
    <row r="787" spans="1:7" ht="15.75" customHeight="1">
      <c r="A787" s="43"/>
      <c r="B787" s="43"/>
      <c r="C787" s="43"/>
      <c r="D787" s="43"/>
      <c r="E787" s="43"/>
      <c r="F787" s="43"/>
      <c r="G787" s="43"/>
    </row>
    <row r="788" spans="1:7" ht="15.75" customHeight="1">
      <c r="A788" s="43"/>
      <c r="B788" s="43"/>
      <c r="C788" s="43"/>
      <c r="D788" s="43"/>
      <c r="E788" s="43"/>
      <c r="F788" s="43"/>
      <c r="G788" s="43"/>
    </row>
    <row r="789" spans="1:7" ht="15.75" customHeight="1">
      <c r="A789" s="43"/>
      <c r="B789" s="43"/>
      <c r="C789" s="43"/>
      <c r="D789" s="43"/>
      <c r="E789" s="43"/>
      <c r="F789" s="43"/>
      <c r="G789" s="43"/>
    </row>
    <row r="790" spans="1:7" ht="15.75" customHeight="1">
      <c r="A790" s="43"/>
      <c r="B790" s="43"/>
      <c r="C790" s="43"/>
      <c r="D790" s="43"/>
      <c r="E790" s="43"/>
      <c r="F790" s="43"/>
      <c r="G790" s="43"/>
    </row>
    <row r="791" spans="1:7" ht="15.75" customHeight="1">
      <c r="A791" s="43"/>
      <c r="B791" s="43"/>
      <c r="C791" s="43"/>
      <c r="D791" s="43"/>
      <c r="E791" s="43"/>
      <c r="F791" s="43"/>
      <c r="G791" s="43"/>
    </row>
    <row r="792" spans="1:7" ht="15.75" customHeight="1">
      <c r="A792" s="43"/>
      <c r="B792" s="43"/>
      <c r="C792" s="43"/>
      <c r="D792" s="43"/>
      <c r="E792" s="43"/>
      <c r="F792" s="43"/>
      <c r="G792" s="43"/>
    </row>
    <row r="793" spans="1:7" ht="15.75" customHeight="1">
      <c r="A793" s="43"/>
      <c r="B793" s="43"/>
      <c r="C793" s="43"/>
      <c r="D793" s="43"/>
      <c r="E793" s="43"/>
      <c r="F793" s="43"/>
      <c r="G793" s="43"/>
    </row>
    <row r="794" spans="1:7" ht="15.75" customHeight="1">
      <c r="A794" s="43"/>
      <c r="B794" s="43"/>
      <c r="C794" s="43"/>
      <c r="D794" s="43"/>
      <c r="E794" s="43"/>
      <c r="F794" s="43"/>
      <c r="G794" s="43"/>
    </row>
    <row r="795" spans="1:7" ht="15.75" customHeight="1">
      <c r="A795" s="43"/>
      <c r="B795" s="43"/>
      <c r="C795" s="43"/>
      <c r="D795" s="43"/>
      <c r="E795" s="43"/>
      <c r="F795" s="43"/>
      <c r="G795" s="43"/>
    </row>
    <row r="796" spans="1:7" ht="15.75" customHeight="1">
      <c r="A796" s="43"/>
      <c r="B796" s="43"/>
      <c r="C796" s="43"/>
      <c r="D796" s="43"/>
      <c r="E796" s="43"/>
      <c r="F796" s="43"/>
      <c r="G796" s="43"/>
    </row>
    <row r="797" spans="1:7" ht="15.75" customHeight="1">
      <c r="A797" s="43"/>
      <c r="B797" s="43"/>
      <c r="C797" s="43"/>
      <c r="D797" s="43"/>
      <c r="E797" s="43"/>
      <c r="F797" s="43"/>
      <c r="G797" s="43"/>
    </row>
    <row r="798" spans="1:7" ht="15.75" customHeight="1">
      <c r="A798" s="43"/>
      <c r="B798" s="43"/>
      <c r="C798" s="43"/>
      <c r="D798" s="43"/>
      <c r="E798" s="43"/>
      <c r="F798" s="43"/>
      <c r="G798" s="43"/>
    </row>
    <row r="799" spans="1:7" ht="15.75" customHeight="1">
      <c r="A799" s="43"/>
      <c r="B799" s="43"/>
      <c r="C799" s="43"/>
      <c r="D799" s="43"/>
      <c r="E799" s="43"/>
      <c r="F799" s="43"/>
      <c r="G799" s="43"/>
    </row>
    <row r="800" spans="1:7" ht="15.75" customHeight="1">
      <c r="A800" s="43"/>
      <c r="B800" s="43"/>
      <c r="C800" s="43"/>
      <c r="D800" s="43"/>
      <c r="E800" s="43"/>
      <c r="F800" s="43"/>
      <c r="G800" s="43"/>
    </row>
    <row r="801" spans="1:7" ht="15.75" customHeight="1">
      <c r="A801" s="43"/>
      <c r="B801" s="43"/>
      <c r="C801" s="43"/>
      <c r="D801" s="43"/>
      <c r="E801" s="43"/>
      <c r="F801" s="43"/>
      <c r="G801" s="43"/>
    </row>
    <row r="802" spans="1:7" ht="15.75" customHeight="1">
      <c r="A802" s="43"/>
      <c r="B802" s="43"/>
      <c r="C802" s="43"/>
      <c r="D802" s="43"/>
      <c r="E802" s="43"/>
      <c r="F802" s="43"/>
      <c r="G802" s="43"/>
    </row>
    <row r="803" spans="1:7" ht="15.75" customHeight="1">
      <c r="A803" s="43"/>
      <c r="B803" s="43"/>
      <c r="C803" s="43"/>
      <c r="D803" s="43"/>
      <c r="E803" s="43"/>
      <c r="F803" s="43"/>
      <c r="G803" s="43"/>
    </row>
    <row r="804" spans="1:7" ht="15.75" customHeight="1">
      <c r="A804" s="43"/>
      <c r="B804" s="43"/>
      <c r="C804" s="43"/>
      <c r="D804" s="43"/>
      <c r="E804" s="43"/>
      <c r="F804" s="43"/>
      <c r="G804" s="43"/>
    </row>
    <row r="805" spans="1:7" ht="15.75" customHeight="1">
      <c r="A805" s="43"/>
      <c r="B805" s="43"/>
      <c r="C805" s="43"/>
      <c r="D805" s="43"/>
      <c r="E805" s="43"/>
      <c r="F805" s="43"/>
      <c r="G805" s="43"/>
    </row>
    <row r="806" spans="1:7" ht="15.75" customHeight="1">
      <c r="A806" s="43"/>
      <c r="B806" s="43"/>
      <c r="C806" s="43"/>
      <c r="D806" s="43"/>
      <c r="E806" s="43"/>
      <c r="F806" s="43"/>
      <c r="G806" s="43"/>
    </row>
    <row r="807" spans="1:7" ht="15.75" customHeight="1">
      <c r="A807" s="43"/>
      <c r="B807" s="43"/>
      <c r="C807" s="43"/>
      <c r="D807" s="43"/>
      <c r="E807" s="43"/>
      <c r="F807" s="43"/>
      <c r="G807" s="43"/>
    </row>
    <row r="808" spans="1:7" ht="15.75" customHeight="1">
      <c r="A808" s="43"/>
      <c r="B808" s="43"/>
      <c r="C808" s="43"/>
      <c r="D808" s="43"/>
      <c r="E808" s="43"/>
      <c r="F808" s="43"/>
      <c r="G808" s="43"/>
    </row>
    <row r="809" spans="1:7" ht="15.75" customHeight="1">
      <c r="A809" s="43"/>
      <c r="B809" s="43"/>
      <c r="C809" s="43"/>
      <c r="D809" s="43"/>
      <c r="E809" s="43"/>
      <c r="F809" s="43"/>
      <c r="G809" s="43"/>
    </row>
    <row r="810" spans="1:7" ht="15.75" customHeight="1">
      <c r="A810" s="43"/>
      <c r="B810" s="43"/>
      <c r="C810" s="43"/>
      <c r="D810" s="43"/>
      <c r="E810" s="43"/>
      <c r="F810" s="43"/>
      <c r="G810" s="43"/>
    </row>
    <row r="811" spans="1:7" ht="15.75" customHeight="1">
      <c r="A811" s="43"/>
      <c r="B811" s="43"/>
      <c r="C811" s="43"/>
      <c r="D811" s="43"/>
      <c r="E811" s="43"/>
      <c r="F811" s="43"/>
      <c r="G811" s="43"/>
    </row>
    <row r="812" spans="1:7" ht="15.75" customHeight="1">
      <c r="A812" s="43"/>
      <c r="B812" s="43"/>
      <c r="C812" s="43"/>
      <c r="D812" s="43"/>
      <c r="E812" s="43"/>
      <c r="F812" s="43"/>
      <c r="G812" s="43"/>
    </row>
    <row r="813" spans="1:7" ht="15.75" customHeight="1">
      <c r="A813" s="43"/>
      <c r="B813" s="43"/>
      <c r="C813" s="43"/>
      <c r="D813" s="43"/>
      <c r="E813" s="43"/>
      <c r="F813" s="43"/>
      <c r="G813" s="43"/>
    </row>
    <row r="814" spans="1:7" ht="15.75" customHeight="1">
      <c r="A814" s="43"/>
      <c r="B814" s="43"/>
      <c r="C814" s="43"/>
      <c r="D814" s="43"/>
      <c r="E814" s="43"/>
      <c r="F814" s="43"/>
      <c r="G814" s="43"/>
    </row>
    <row r="815" spans="1:7" ht="15.75" customHeight="1">
      <c r="A815" s="43"/>
      <c r="B815" s="43"/>
      <c r="C815" s="43"/>
      <c r="D815" s="43"/>
      <c r="E815" s="43"/>
      <c r="F815" s="43"/>
      <c r="G815" s="43"/>
    </row>
    <row r="816" spans="1:7" ht="15.75" customHeight="1">
      <c r="A816" s="43"/>
      <c r="B816" s="43"/>
      <c r="C816" s="43"/>
      <c r="D816" s="43"/>
      <c r="E816" s="43"/>
      <c r="F816" s="43"/>
      <c r="G816" s="43"/>
    </row>
    <row r="817" spans="1:7" ht="15.75" customHeight="1">
      <c r="A817" s="43"/>
      <c r="B817" s="43"/>
      <c r="C817" s="43"/>
      <c r="D817" s="43"/>
      <c r="E817" s="43"/>
      <c r="F817" s="43"/>
      <c r="G817" s="43"/>
    </row>
    <row r="818" spans="1:7" ht="15.75" customHeight="1">
      <c r="A818" s="43"/>
      <c r="B818" s="43"/>
      <c r="C818" s="43"/>
      <c r="D818" s="43"/>
      <c r="E818" s="43"/>
      <c r="F818" s="43"/>
      <c r="G818" s="43"/>
    </row>
    <row r="819" spans="1:7" ht="15.75" customHeight="1">
      <c r="A819" s="43"/>
      <c r="B819" s="43"/>
      <c r="C819" s="43"/>
      <c r="D819" s="43"/>
      <c r="E819" s="43"/>
      <c r="F819" s="43"/>
      <c r="G819" s="43"/>
    </row>
    <row r="820" spans="1:7" ht="15.75" customHeight="1">
      <c r="A820" s="43"/>
      <c r="B820" s="43"/>
      <c r="C820" s="43"/>
      <c r="D820" s="43"/>
      <c r="E820" s="43"/>
      <c r="F820" s="43"/>
      <c r="G820" s="43"/>
    </row>
    <row r="821" spans="1:7" ht="15.75" customHeight="1">
      <c r="A821" s="43"/>
      <c r="B821" s="43"/>
      <c r="C821" s="43"/>
      <c r="D821" s="43"/>
      <c r="E821" s="43"/>
      <c r="F821" s="43"/>
      <c r="G821" s="43"/>
    </row>
    <row r="822" spans="1:7" ht="15.75" customHeight="1">
      <c r="A822" s="43"/>
      <c r="B822" s="43"/>
      <c r="C822" s="43"/>
      <c r="D822" s="43"/>
      <c r="E822" s="43"/>
      <c r="F822" s="43"/>
      <c r="G822" s="43"/>
    </row>
    <row r="823" spans="1:7" ht="15.75" customHeight="1">
      <c r="A823" s="43"/>
      <c r="B823" s="43"/>
      <c r="C823" s="43"/>
      <c r="D823" s="43"/>
      <c r="E823" s="43"/>
      <c r="F823" s="43"/>
      <c r="G823" s="43"/>
    </row>
    <row r="824" spans="1:7" ht="15.75" customHeight="1">
      <c r="A824" s="43"/>
      <c r="B824" s="43"/>
      <c r="C824" s="43"/>
      <c r="D824" s="43"/>
      <c r="E824" s="43"/>
      <c r="F824" s="43"/>
      <c r="G824" s="43"/>
    </row>
    <row r="825" spans="1:7" ht="15.75" customHeight="1">
      <c r="A825" s="43"/>
      <c r="B825" s="43"/>
      <c r="C825" s="43"/>
      <c r="D825" s="43"/>
      <c r="E825" s="43"/>
      <c r="F825" s="43"/>
      <c r="G825" s="43"/>
    </row>
    <row r="826" spans="1:7" ht="15.75" customHeight="1">
      <c r="A826" s="43"/>
      <c r="B826" s="43"/>
      <c r="C826" s="43"/>
      <c r="D826" s="43"/>
      <c r="E826" s="43"/>
      <c r="F826" s="43"/>
      <c r="G826" s="43"/>
    </row>
    <row r="827" spans="1:7" ht="15.75" customHeight="1">
      <c r="A827" s="43"/>
      <c r="B827" s="43"/>
      <c r="C827" s="43"/>
      <c r="D827" s="43"/>
      <c r="E827" s="43"/>
      <c r="F827" s="43"/>
      <c r="G827" s="43"/>
    </row>
    <row r="828" spans="1:7" ht="15.75" customHeight="1">
      <c r="A828" s="43"/>
      <c r="B828" s="43"/>
      <c r="C828" s="43"/>
      <c r="D828" s="43"/>
      <c r="E828" s="43"/>
      <c r="F828" s="43"/>
      <c r="G828" s="43"/>
    </row>
    <row r="829" spans="1:7" ht="15.75" customHeight="1">
      <c r="A829" s="43"/>
      <c r="B829" s="43"/>
      <c r="C829" s="43"/>
      <c r="D829" s="43"/>
      <c r="E829" s="43"/>
      <c r="F829" s="43"/>
      <c r="G829" s="43"/>
    </row>
    <row r="830" spans="1:7" ht="15.75" customHeight="1">
      <c r="A830" s="43"/>
      <c r="B830" s="43"/>
      <c r="C830" s="43"/>
      <c r="D830" s="43"/>
      <c r="E830" s="43"/>
      <c r="F830" s="43"/>
      <c r="G830" s="43"/>
    </row>
    <row r="831" spans="1:7" ht="15.75" customHeight="1">
      <c r="A831" s="43"/>
      <c r="B831" s="43"/>
      <c r="C831" s="43"/>
      <c r="D831" s="43"/>
      <c r="E831" s="43"/>
      <c r="F831" s="43"/>
      <c r="G831" s="43"/>
    </row>
    <row r="832" spans="1:7" ht="15.75" customHeight="1">
      <c r="A832" s="43"/>
      <c r="B832" s="43"/>
      <c r="C832" s="43"/>
      <c r="D832" s="43"/>
      <c r="E832" s="43"/>
      <c r="F832" s="43"/>
      <c r="G832" s="43"/>
    </row>
    <row r="833" spans="1:7" ht="15.75" customHeight="1">
      <c r="A833" s="43"/>
      <c r="B833" s="43"/>
      <c r="C833" s="43"/>
      <c r="D833" s="43"/>
      <c r="E833" s="43"/>
      <c r="F833" s="43"/>
      <c r="G833" s="43"/>
    </row>
    <row r="834" spans="1:7" ht="15.75" customHeight="1">
      <c r="A834" s="43"/>
      <c r="B834" s="43"/>
      <c r="C834" s="43"/>
      <c r="D834" s="43"/>
      <c r="E834" s="43"/>
      <c r="F834" s="43"/>
      <c r="G834" s="43"/>
    </row>
    <row r="835" spans="1:7" ht="15.75" customHeight="1">
      <c r="A835" s="43"/>
      <c r="B835" s="43"/>
      <c r="C835" s="43"/>
      <c r="D835" s="43"/>
      <c r="E835" s="43"/>
      <c r="F835" s="43"/>
      <c r="G835" s="43"/>
    </row>
    <row r="836" spans="1:7" ht="15.75" customHeight="1">
      <c r="A836" s="43"/>
      <c r="B836" s="43"/>
      <c r="C836" s="43"/>
      <c r="D836" s="43"/>
      <c r="E836" s="43"/>
      <c r="F836" s="43"/>
      <c r="G836" s="43"/>
    </row>
    <row r="837" spans="1:7" ht="15.75" customHeight="1">
      <c r="A837" s="43"/>
      <c r="B837" s="43"/>
      <c r="C837" s="43"/>
      <c r="D837" s="43"/>
      <c r="E837" s="43"/>
      <c r="F837" s="43"/>
      <c r="G837" s="43"/>
    </row>
    <row r="838" spans="1:7" ht="15.75" customHeight="1">
      <c r="A838" s="43"/>
      <c r="B838" s="43"/>
      <c r="C838" s="43"/>
      <c r="D838" s="43"/>
      <c r="E838" s="43"/>
      <c r="F838" s="43"/>
      <c r="G838" s="43"/>
    </row>
    <row r="839" spans="1:7" ht="15.75" customHeight="1">
      <c r="A839" s="43"/>
      <c r="B839" s="43"/>
      <c r="C839" s="43"/>
      <c r="D839" s="43"/>
      <c r="E839" s="43"/>
      <c r="F839" s="43"/>
      <c r="G839" s="43"/>
    </row>
    <row r="840" spans="1:7" ht="15.75" customHeight="1">
      <c r="A840" s="43"/>
      <c r="B840" s="43"/>
      <c r="C840" s="43"/>
      <c r="D840" s="43"/>
      <c r="E840" s="43"/>
      <c r="F840" s="43"/>
      <c r="G840" s="43"/>
    </row>
    <row r="841" spans="1:7" ht="15.75" customHeight="1">
      <c r="A841" s="43"/>
      <c r="B841" s="43"/>
      <c r="C841" s="43"/>
      <c r="D841" s="43"/>
      <c r="E841" s="43"/>
      <c r="F841" s="43"/>
      <c r="G841" s="43"/>
    </row>
    <row r="842" spans="1:7" ht="15.75" customHeight="1">
      <c r="A842" s="43"/>
      <c r="B842" s="43"/>
      <c r="C842" s="43"/>
      <c r="D842" s="43"/>
      <c r="E842" s="43"/>
      <c r="F842" s="43"/>
      <c r="G842" s="43"/>
    </row>
    <row r="843" spans="1:7" ht="15.75" customHeight="1">
      <c r="A843" s="43"/>
      <c r="B843" s="43"/>
      <c r="C843" s="43"/>
      <c r="D843" s="43"/>
      <c r="E843" s="43"/>
      <c r="F843" s="43"/>
      <c r="G843" s="43"/>
    </row>
    <row r="844" spans="1:7" ht="15.75" customHeight="1">
      <c r="A844" s="43"/>
      <c r="B844" s="43"/>
      <c r="C844" s="43"/>
      <c r="D844" s="43"/>
      <c r="E844" s="43"/>
      <c r="F844" s="43"/>
      <c r="G844" s="43"/>
    </row>
    <row r="845" spans="1:7" ht="15.75" customHeight="1">
      <c r="A845" s="43"/>
      <c r="B845" s="43"/>
      <c r="C845" s="43"/>
      <c r="D845" s="43"/>
      <c r="E845" s="43"/>
      <c r="F845" s="43"/>
      <c r="G845" s="43"/>
    </row>
    <row r="846" spans="1:7" ht="15.75" customHeight="1">
      <c r="A846" s="43"/>
      <c r="B846" s="43"/>
      <c r="C846" s="43"/>
      <c r="D846" s="43"/>
      <c r="E846" s="43"/>
      <c r="F846" s="43"/>
      <c r="G846" s="43"/>
    </row>
    <row r="847" spans="1:7" ht="15.75" customHeight="1">
      <c r="A847" s="43"/>
      <c r="B847" s="43"/>
      <c r="C847" s="43"/>
      <c r="D847" s="43"/>
      <c r="E847" s="43"/>
      <c r="F847" s="43"/>
      <c r="G847" s="43"/>
    </row>
    <row r="848" spans="1:7" ht="15.75" customHeight="1">
      <c r="A848" s="43"/>
      <c r="B848" s="43"/>
      <c r="C848" s="43"/>
      <c r="D848" s="43"/>
      <c r="E848" s="43"/>
      <c r="F848" s="43"/>
      <c r="G848" s="43"/>
    </row>
    <row r="849" spans="1:7" ht="15.75" customHeight="1">
      <c r="A849" s="43"/>
      <c r="B849" s="43"/>
      <c r="C849" s="43"/>
      <c r="D849" s="43"/>
      <c r="E849" s="43"/>
      <c r="F849" s="43"/>
      <c r="G849" s="43"/>
    </row>
    <row r="850" spans="1:7" ht="15.75" customHeight="1">
      <c r="A850" s="43"/>
      <c r="B850" s="43"/>
      <c r="C850" s="43"/>
      <c r="D850" s="43"/>
      <c r="E850" s="43"/>
      <c r="F850" s="43"/>
      <c r="G850" s="43"/>
    </row>
    <row r="851" spans="1:7" ht="15.75" customHeight="1">
      <c r="A851" s="43"/>
      <c r="B851" s="43"/>
      <c r="C851" s="43"/>
      <c r="D851" s="43"/>
      <c r="E851" s="43"/>
      <c r="F851" s="43"/>
      <c r="G851" s="43"/>
    </row>
    <row r="852" spans="1:7" ht="15.75" customHeight="1">
      <c r="A852" s="43"/>
      <c r="B852" s="43"/>
      <c r="C852" s="43"/>
      <c r="D852" s="43"/>
      <c r="E852" s="43"/>
      <c r="F852" s="43"/>
      <c r="G852" s="43"/>
    </row>
    <row r="853" spans="1:7" ht="15.75" customHeight="1">
      <c r="A853" s="43"/>
      <c r="B853" s="43"/>
      <c r="C853" s="43"/>
      <c r="D853" s="43"/>
      <c r="E853" s="43"/>
      <c r="F853" s="43"/>
      <c r="G853" s="43"/>
    </row>
    <row r="854" spans="1:7" ht="15.75" customHeight="1">
      <c r="A854" s="43"/>
      <c r="B854" s="43"/>
      <c r="C854" s="43"/>
      <c r="D854" s="43"/>
      <c r="E854" s="43"/>
      <c r="F854" s="43"/>
      <c r="G854" s="43"/>
    </row>
    <row r="855" spans="1:7" ht="15.75" customHeight="1">
      <c r="A855" s="43"/>
      <c r="B855" s="43"/>
      <c r="C855" s="43"/>
      <c r="D855" s="43"/>
      <c r="E855" s="43"/>
      <c r="F855" s="43"/>
      <c r="G855" s="43"/>
    </row>
    <row r="856" spans="1:7" ht="15.75" customHeight="1">
      <c r="A856" s="43"/>
      <c r="B856" s="43"/>
      <c r="C856" s="43"/>
      <c r="D856" s="43"/>
      <c r="E856" s="43"/>
      <c r="F856" s="43"/>
      <c r="G856" s="43"/>
    </row>
    <row r="857" spans="1:7" ht="15.75" customHeight="1">
      <c r="A857" s="43"/>
      <c r="B857" s="43"/>
      <c r="C857" s="43"/>
      <c r="D857" s="43"/>
      <c r="E857" s="43"/>
      <c r="F857" s="43"/>
      <c r="G857" s="43"/>
    </row>
    <row r="858" spans="1:7" ht="15.75" customHeight="1">
      <c r="A858" s="43"/>
      <c r="B858" s="43"/>
      <c r="C858" s="43"/>
      <c r="D858" s="43"/>
      <c r="E858" s="43"/>
      <c r="F858" s="43"/>
      <c r="G858" s="43"/>
    </row>
    <row r="859" spans="1:7" ht="15.75" customHeight="1">
      <c r="A859" s="43"/>
      <c r="B859" s="43"/>
      <c r="C859" s="43"/>
      <c r="D859" s="43"/>
      <c r="E859" s="43"/>
      <c r="F859" s="43"/>
      <c r="G859" s="43"/>
    </row>
    <row r="860" spans="1:7" ht="15.75" customHeight="1">
      <c r="A860" s="43"/>
      <c r="B860" s="43"/>
      <c r="C860" s="43"/>
      <c r="D860" s="43"/>
      <c r="E860" s="43"/>
      <c r="F860" s="43"/>
      <c r="G860" s="43"/>
    </row>
    <row r="861" spans="1:7" ht="15.75" customHeight="1">
      <c r="A861" s="43"/>
      <c r="B861" s="43"/>
      <c r="C861" s="43"/>
      <c r="D861" s="43"/>
      <c r="E861" s="43"/>
      <c r="F861" s="43"/>
      <c r="G861" s="43"/>
    </row>
    <row r="862" spans="1:7" ht="15.75" customHeight="1">
      <c r="A862" s="43"/>
      <c r="B862" s="43"/>
      <c r="C862" s="43"/>
      <c r="D862" s="43"/>
      <c r="E862" s="43"/>
      <c r="F862" s="43"/>
      <c r="G862" s="43"/>
    </row>
    <row r="863" spans="1:7" ht="15.75" customHeight="1">
      <c r="A863" s="43"/>
      <c r="B863" s="43"/>
      <c r="C863" s="43"/>
      <c r="D863" s="43"/>
      <c r="E863" s="43"/>
      <c r="F863" s="43"/>
      <c r="G863" s="43"/>
    </row>
    <row r="864" spans="1:7" ht="15.75" customHeight="1">
      <c r="A864" s="43"/>
      <c r="B864" s="43"/>
      <c r="C864" s="43"/>
      <c r="D864" s="43"/>
      <c r="E864" s="43"/>
      <c r="F864" s="43"/>
      <c r="G864" s="43"/>
    </row>
    <row r="865" spans="1:7" ht="15.75" customHeight="1">
      <c r="A865" s="43"/>
      <c r="B865" s="43"/>
      <c r="C865" s="43"/>
      <c r="D865" s="43"/>
      <c r="E865" s="43"/>
      <c r="F865" s="43"/>
      <c r="G865" s="43"/>
    </row>
    <row r="866" spans="1:7" ht="15.75" customHeight="1">
      <c r="A866" s="43"/>
      <c r="B866" s="43"/>
      <c r="C866" s="43"/>
      <c r="D866" s="43"/>
      <c r="E866" s="43"/>
      <c r="F866" s="43"/>
      <c r="G866" s="43"/>
    </row>
    <row r="867" spans="1:7" ht="15.75" customHeight="1">
      <c r="A867" s="43"/>
      <c r="B867" s="43"/>
      <c r="C867" s="43"/>
      <c r="D867" s="43"/>
      <c r="E867" s="43"/>
      <c r="F867" s="43"/>
      <c r="G867" s="43"/>
    </row>
    <row r="868" spans="1:7" ht="15.75" customHeight="1">
      <c r="A868" s="43"/>
      <c r="B868" s="43"/>
      <c r="C868" s="43"/>
      <c r="D868" s="43"/>
      <c r="E868" s="43"/>
      <c r="F868" s="43"/>
      <c r="G868" s="43"/>
    </row>
    <row r="869" spans="1:7" ht="15.75" customHeight="1">
      <c r="A869" s="43"/>
      <c r="B869" s="43"/>
      <c r="C869" s="43"/>
      <c r="D869" s="43"/>
      <c r="E869" s="43"/>
      <c r="F869" s="43"/>
      <c r="G869" s="43"/>
    </row>
    <row r="870" spans="1:7" ht="15.75" customHeight="1">
      <c r="A870" s="43"/>
      <c r="B870" s="43"/>
      <c r="C870" s="43"/>
      <c r="D870" s="43"/>
      <c r="E870" s="43"/>
      <c r="F870" s="43"/>
      <c r="G870" s="43"/>
    </row>
    <row r="871" spans="1:7" ht="15.75" customHeight="1">
      <c r="A871" s="43"/>
      <c r="B871" s="43"/>
      <c r="C871" s="43"/>
      <c r="D871" s="43"/>
      <c r="E871" s="43"/>
      <c r="F871" s="43"/>
      <c r="G871" s="43"/>
    </row>
    <row r="872" spans="1:7" ht="15.75" customHeight="1">
      <c r="A872" s="43"/>
      <c r="B872" s="43"/>
      <c r="C872" s="43"/>
      <c r="D872" s="43"/>
      <c r="E872" s="43"/>
      <c r="F872" s="43"/>
      <c r="G872" s="43"/>
    </row>
    <row r="873" spans="1:7" ht="15.75" customHeight="1">
      <c r="A873" s="43"/>
      <c r="B873" s="43"/>
      <c r="C873" s="43"/>
      <c r="D873" s="43"/>
      <c r="E873" s="43"/>
      <c r="F873" s="43"/>
      <c r="G873" s="43"/>
    </row>
    <row r="874" spans="1:7" ht="15.75" customHeight="1">
      <c r="A874" s="43"/>
      <c r="B874" s="43"/>
      <c r="C874" s="43"/>
      <c r="D874" s="43"/>
      <c r="E874" s="43"/>
      <c r="F874" s="43"/>
      <c r="G874" s="43"/>
    </row>
    <row r="875" spans="1:7" ht="15.75" customHeight="1">
      <c r="A875" s="43"/>
      <c r="B875" s="43"/>
      <c r="C875" s="43"/>
      <c r="D875" s="43"/>
      <c r="E875" s="43"/>
      <c r="F875" s="43"/>
      <c r="G875" s="43"/>
    </row>
    <row r="876" spans="1:7" ht="15.75" customHeight="1">
      <c r="A876" s="43"/>
      <c r="B876" s="43"/>
      <c r="C876" s="43"/>
      <c r="D876" s="43"/>
      <c r="E876" s="43"/>
      <c r="F876" s="43"/>
      <c r="G876" s="43"/>
    </row>
    <row r="877" spans="1:7" ht="15.75" customHeight="1">
      <c r="A877" s="43"/>
      <c r="B877" s="43"/>
      <c r="C877" s="43"/>
      <c r="D877" s="43"/>
      <c r="E877" s="43"/>
      <c r="F877" s="43"/>
      <c r="G877" s="43"/>
    </row>
    <row r="878" spans="1:7" ht="15.75" customHeight="1">
      <c r="A878" s="43"/>
      <c r="B878" s="43"/>
      <c r="C878" s="43"/>
      <c r="D878" s="43"/>
      <c r="E878" s="43"/>
      <c r="F878" s="43"/>
      <c r="G878" s="43"/>
    </row>
    <row r="879" spans="1:7" ht="15.75" customHeight="1">
      <c r="A879" s="43"/>
      <c r="B879" s="43"/>
      <c r="C879" s="43"/>
      <c r="D879" s="43"/>
      <c r="E879" s="43"/>
      <c r="F879" s="43"/>
      <c r="G879" s="43"/>
    </row>
    <row r="880" spans="1:7" ht="15.75" customHeight="1">
      <c r="A880" s="43"/>
      <c r="B880" s="43"/>
      <c r="C880" s="43"/>
      <c r="D880" s="43"/>
      <c r="E880" s="43"/>
      <c r="F880" s="43"/>
      <c r="G880" s="43"/>
    </row>
    <row r="881" spans="1:7" ht="15.75" customHeight="1">
      <c r="A881" s="43"/>
      <c r="B881" s="43"/>
      <c r="C881" s="43"/>
      <c r="D881" s="43"/>
      <c r="E881" s="43"/>
      <c r="F881" s="43"/>
      <c r="G881" s="43"/>
    </row>
    <row r="882" spans="1:7" ht="15.75" customHeight="1">
      <c r="A882" s="43"/>
      <c r="B882" s="43"/>
      <c r="C882" s="43"/>
      <c r="D882" s="43"/>
      <c r="E882" s="43"/>
      <c r="F882" s="43"/>
      <c r="G882" s="43"/>
    </row>
    <row r="883" spans="1:7" ht="15.75" customHeight="1">
      <c r="A883" s="43"/>
      <c r="B883" s="43"/>
      <c r="C883" s="43"/>
      <c r="D883" s="43"/>
      <c r="E883" s="43"/>
      <c r="F883" s="43"/>
      <c r="G883" s="43"/>
    </row>
    <row r="884" spans="1:7" ht="15.75" customHeight="1">
      <c r="A884" s="43"/>
      <c r="B884" s="43"/>
      <c r="C884" s="43"/>
      <c r="D884" s="43"/>
      <c r="E884" s="43"/>
      <c r="F884" s="43"/>
      <c r="G884" s="43"/>
    </row>
    <row r="885" spans="1:7" ht="15.75" customHeight="1">
      <c r="A885" s="43"/>
      <c r="B885" s="43"/>
      <c r="C885" s="43"/>
      <c r="D885" s="43"/>
      <c r="E885" s="43"/>
      <c r="F885" s="43"/>
      <c r="G885" s="43"/>
    </row>
    <row r="886" spans="1:7" ht="15.75" customHeight="1">
      <c r="A886" s="43"/>
      <c r="B886" s="43"/>
      <c r="C886" s="43"/>
      <c r="D886" s="43"/>
      <c r="E886" s="43"/>
      <c r="F886" s="43"/>
      <c r="G886" s="43"/>
    </row>
    <row r="887" spans="1:7" ht="15.75" customHeight="1">
      <c r="A887" s="43"/>
      <c r="B887" s="43"/>
      <c r="C887" s="43"/>
      <c r="D887" s="43"/>
      <c r="E887" s="43"/>
      <c r="F887" s="43"/>
      <c r="G887" s="43"/>
    </row>
    <row r="888" spans="1:7" ht="15.75" customHeight="1">
      <c r="A888" s="43"/>
      <c r="B888" s="43"/>
      <c r="C888" s="43"/>
      <c r="D888" s="43"/>
      <c r="E888" s="43"/>
      <c r="F888" s="43"/>
      <c r="G888" s="43"/>
    </row>
    <row r="889" spans="1:7" ht="15.75" customHeight="1">
      <c r="A889" s="43"/>
      <c r="B889" s="43"/>
      <c r="C889" s="43"/>
      <c r="D889" s="43"/>
      <c r="E889" s="43"/>
      <c r="F889" s="43"/>
      <c r="G889" s="43"/>
    </row>
    <row r="890" spans="1:7" ht="15.75" customHeight="1">
      <c r="A890" s="43"/>
      <c r="B890" s="43"/>
      <c r="C890" s="43"/>
      <c r="D890" s="43"/>
      <c r="E890" s="43"/>
      <c r="F890" s="43"/>
      <c r="G890" s="43"/>
    </row>
    <row r="891" spans="1:7" ht="15.75" customHeight="1">
      <c r="A891" s="43"/>
      <c r="B891" s="43"/>
      <c r="C891" s="43"/>
      <c r="D891" s="43"/>
      <c r="E891" s="43"/>
      <c r="F891" s="43"/>
      <c r="G891" s="43"/>
    </row>
    <row r="892" spans="1:7" ht="15.75" customHeight="1">
      <c r="A892" s="43"/>
      <c r="B892" s="43"/>
      <c r="C892" s="43"/>
      <c r="D892" s="43"/>
      <c r="E892" s="43"/>
      <c r="F892" s="43"/>
      <c r="G892" s="43"/>
    </row>
    <row r="893" spans="1:7" ht="15.75" customHeight="1">
      <c r="A893" s="43"/>
      <c r="B893" s="43"/>
      <c r="C893" s="43"/>
      <c r="D893" s="43"/>
      <c r="E893" s="43"/>
      <c r="F893" s="43"/>
      <c r="G893" s="43"/>
    </row>
    <row r="894" spans="1:7" ht="15.75" customHeight="1">
      <c r="A894" s="43"/>
      <c r="B894" s="43"/>
      <c r="C894" s="43"/>
      <c r="D894" s="43"/>
      <c r="E894" s="43"/>
      <c r="F894" s="43"/>
      <c r="G894" s="43"/>
    </row>
    <row r="895" spans="1:7" ht="15.75" customHeight="1">
      <c r="A895" s="43"/>
      <c r="B895" s="43"/>
      <c r="C895" s="43"/>
      <c r="D895" s="43"/>
      <c r="E895" s="43"/>
      <c r="F895" s="43"/>
      <c r="G895" s="43"/>
    </row>
    <row r="896" spans="1:7" ht="15.75" customHeight="1">
      <c r="A896" s="43"/>
      <c r="B896" s="43"/>
      <c r="C896" s="43"/>
      <c r="D896" s="43"/>
      <c r="E896" s="43"/>
      <c r="F896" s="43"/>
      <c r="G896" s="43"/>
    </row>
    <row r="897" spans="1:7" ht="15.75" customHeight="1">
      <c r="A897" s="43"/>
      <c r="B897" s="43"/>
      <c r="C897" s="43"/>
      <c r="D897" s="43"/>
      <c r="E897" s="43"/>
      <c r="F897" s="43"/>
      <c r="G897" s="43"/>
    </row>
    <row r="898" spans="1:7" ht="15.75" customHeight="1">
      <c r="A898" s="43"/>
      <c r="B898" s="43"/>
      <c r="C898" s="43"/>
      <c r="D898" s="43"/>
      <c r="E898" s="43"/>
      <c r="F898" s="43"/>
      <c r="G898" s="43"/>
    </row>
    <row r="899" spans="1:7" ht="15.75" customHeight="1">
      <c r="A899" s="43"/>
      <c r="B899" s="43"/>
      <c r="C899" s="43"/>
      <c r="D899" s="43"/>
      <c r="E899" s="43"/>
      <c r="F899" s="43"/>
      <c r="G899" s="43"/>
    </row>
    <row r="900" spans="1:7" ht="15.75" customHeight="1">
      <c r="A900" s="43"/>
      <c r="B900" s="43"/>
      <c r="C900" s="43"/>
      <c r="D900" s="43"/>
      <c r="E900" s="43"/>
      <c r="F900" s="43"/>
      <c r="G900" s="43"/>
    </row>
    <row r="901" spans="1:7" ht="15.75" customHeight="1">
      <c r="A901" s="43"/>
      <c r="B901" s="43"/>
      <c r="C901" s="43"/>
      <c r="D901" s="43"/>
      <c r="E901" s="43"/>
      <c r="F901" s="43"/>
      <c r="G901" s="43"/>
    </row>
    <row r="902" spans="1:7" ht="15.75" customHeight="1">
      <c r="A902" s="43"/>
      <c r="B902" s="43"/>
      <c r="C902" s="43"/>
      <c r="D902" s="43"/>
      <c r="E902" s="43"/>
      <c r="F902" s="43"/>
      <c r="G902" s="43"/>
    </row>
    <row r="903" spans="1:7" ht="15.75" customHeight="1">
      <c r="A903" s="43"/>
      <c r="B903" s="43"/>
      <c r="C903" s="43"/>
      <c r="D903" s="43"/>
      <c r="E903" s="43"/>
      <c r="F903" s="43"/>
      <c r="G903" s="43"/>
    </row>
    <row r="904" spans="1:7" ht="15.75" customHeight="1">
      <c r="A904" s="43"/>
      <c r="B904" s="43"/>
      <c r="C904" s="43"/>
      <c r="D904" s="43"/>
      <c r="E904" s="43"/>
      <c r="F904" s="43"/>
      <c r="G904" s="43"/>
    </row>
    <row r="905" spans="1:7" ht="15.75" customHeight="1">
      <c r="A905" s="43"/>
      <c r="B905" s="43"/>
      <c r="C905" s="43"/>
      <c r="D905" s="43"/>
      <c r="E905" s="43"/>
      <c r="F905" s="43"/>
      <c r="G905" s="43"/>
    </row>
    <row r="906" spans="1:7" ht="15.75" customHeight="1">
      <c r="A906" s="43"/>
      <c r="B906" s="43"/>
      <c r="C906" s="43"/>
      <c r="D906" s="43"/>
      <c r="E906" s="43"/>
      <c r="F906" s="43"/>
      <c r="G906" s="43"/>
    </row>
    <row r="907" spans="1:7" ht="15.75" customHeight="1">
      <c r="A907" s="43"/>
      <c r="B907" s="43"/>
      <c r="C907" s="43"/>
      <c r="D907" s="43"/>
      <c r="E907" s="43"/>
      <c r="F907" s="43"/>
      <c r="G907" s="43"/>
    </row>
    <row r="908" spans="1:7" ht="15.75" customHeight="1">
      <c r="A908" s="43"/>
      <c r="B908" s="43"/>
      <c r="C908" s="43"/>
      <c r="D908" s="43"/>
      <c r="E908" s="43"/>
      <c r="F908" s="43"/>
      <c r="G908" s="43"/>
    </row>
    <row r="909" spans="1:7" ht="15.75" customHeight="1">
      <c r="A909" s="43"/>
      <c r="B909" s="43"/>
      <c r="C909" s="43"/>
      <c r="D909" s="43"/>
      <c r="E909" s="43"/>
      <c r="F909" s="43"/>
      <c r="G909" s="43"/>
    </row>
    <row r="910" spans="1:7" ht="15.75" customHeight="1">
      <c r="A910" s="43"/>
      <c r="B910" s="43"/>
      <c r="C910" s="43"/>
      <c r="D910" s="43"/>
      <c r="E910" s="43"/>
      <c r="F910" s="43"/>
      <c r="G910" s="43"/>
    </row>
    <row r="911" spans="1:7" ht="15.75" customHeight="1">
      <c r="A911" s="43"/>
      <c r="B911" s="43"/>
      <c r="C911" s="43"/>
      <c r="D911" s="43"/>
      <c r="E911" s="43"/>
      <c r="F911" s="43"/>
      <c r="G911" s="43"/>
    </row>
    <row r="912" spans="1:7" ht="15.75" customHeight="1">
      <c r="A912" s="43"/>
      <c r="B912" s="43"/>
      <c r="C912" s="43"/>
      <c r="D912" s="43"/>
      <c r="E912" s="43"/>
      <c r="F912" s="43"/>
      <c r="G912" s="43"/>
    </row>
    <row r="913" spans="1:7" ht="15.75" customHeight="1">
      <c r="A913" s="43"/>
      <c r="B913" s="43"/>
      <c r="C913" s="43"/>
      <c r="D913" s="43"/>
      <c r="E913" s="43"/>
      <c r="F913" s="43"/>
      <c r="G913" s="43"/>
    </row>
    <row r="914" spans="1:7" ht="15.75" customHeight="1">
      <c r="A914" s="43"/>
      <c r="B914" s="43"/>
      <c r="C914" s="43"/>
      <c r="D914" s="43"/>
      <c r="E914" s="43"/>
      <c r="F914" s="43"/>
      <c r="G914" s="43"/>
    </row>
    <row r="915" spans="1:7" ht="15.75" customHeight="1">
      <c r="A915" s="43"/>
      <c r="B915" s="43"/>
      <c r="C915" s="43"/>
      <c r="D915" s="43"/>
      <c r="E915" s="43"/>
      <c r="F915" s="43"/>
      <c r="G915" s="43"/>
    </row>
    <row r="916" spans="1:7" ht="15.75" customHeight="1">
      <c r="A916" s="43"/>
      <c r="B916" s="43"/>
      <c r="C916" s="43"/>
      <c r="D916" s="43"/>
      <c r="E916" s="43"/>
      <c r="F916" s="43"/>
      <c r="G916" s="43"/>
    </row>
    <row r="917" spans="1:7" ht="15.75" customHeight="1">
      <c r="A917" s="43"/>
      <c r="B917" s="43"/>
      <c r="C917" s="43"/>
      <c r="D917" s="43"/>
      <c r="E917" s="43"/>
      <c r="F917" s="43"/>
      <c r="G917" s="43"/>
    </row>
    <row r="918" spans="1:7" ht="15.75" customHeight="1">
      <c r="A918" s="43"/>
      <c r="B918" s="43"/>
      <c r="C918" s="43"/>
      <c r="D918" s="43"/>
      <c r="E918" s="43"/>
      <c r="F918" s="43"/>
      <c r="G918" s="43"/>
    </row>
    <row r="919" spans="1:7" ht="15.75" customHeight="1">
      <c r="A919" s="43"/>
      <c r="B919" s="43"/>
      <c r="C919" s="43"/>
      <c r="D919" s="43"/>
      <c r="E919" s="43"/>
      <c r="F919" s="43"/>
      <c r="G919" s="43"/>
    </row>
    <row r="920" spans="1:7" ht="15.75" customHeight="1">
      <c r="A920" s="43"/>
      <c r="B920" s="43"/>
      <c r="C920" s="43"/>
      <c r="D920" s="43"/>
      <c r="E920" s="43"/>
      <c r="F920" s="43"/>
      <c r="G920" s="43"/>
    </row>
    <row r="921" spans="1:7" ht="15.75" customHeight="1">
      <c r="A921" s="43"/>
      <c r="B921" s="43"/>
      <c r="C921" s="43"/>
      <c r="D921" s="43"/>
      <c r="E921" s="43"/>
      <c r="F921" s="43"/>
      <c r="G921" s="43"/>
    </row>
    <row r="922" spans="1:7" ht="15.75" customHeight="1">
      <c r="A922" s="43"/>
      <c r="B922" s="43"/>
      <c r="C922" s="43"/>
      <c r="D922" s="43"/>
      <c r="E922" s="43"/>
      <c r="F922" s="43"/>
      <c r="G922" s="43"/>
    </row>
    <row r="923" spans="1:7" ht="15.75" customHeight="1">
      <c r="A923" s="43"/>
      <c r="B923" s="43"/>
      <c r="C923" s="43"/>
      <c r="D923" s="43"/>
      <c r="E923" s="43"/>
      <c r="F923" s="43"/>
      <c r="G923" s="43"/>
    </row>
    <row r="924" spans="1:7" ht="15.75" customHeight="1">
      <c r="A924" s="43"/>
      <c r="B924" s="43"/>
      <c r="C924" s="43"/>
      <c r="D924" s="43"/>
      <c r="E924" s="43"/>
      <c r="F924" s="43"/>
      <c r="G924" s="43"/>
    </row>
    <row r="925" spans="1:7" ht="15.75" customHeight="1">
      <c r="A925" s="43"/>
      <c r="B925" s="43"/>
      <c r="C925" s="43"/>
      <c r="D925" s="43"/>
      <c r="E925" s="43"/>
      <c r="F925" s="43"/>
      <c r="G925" s="43"/>
    </row>
    <row r="926" spans="1:7" ht="15.75" customHeight="1">
      <c r="A926" s="43"/>
      <c r="B926" s="43"/>
      <c r="C926" s="43"/>
      <c r="D926" s="43"/>
      <c r="E926" s="43"/>
      <c r="F926" s="43"/>
      <c r="G926" s="43"/>
    </row>
    <row r="927" spans="1:7" ht="15.75" customHeight="1">
      <c r="A927" s="43"/>
      <c r="B927" s="43"/>
      <c r="C927" s="43"/>
      <c r="D927" s="43"/>
      <c r="E927" s="43"/>
      <c r="F927" s="43"/>
      <c r="G927" s="43"/>
    </row>
    <row r="928" spans="1:7" ht="15.75" customHeight="1">
      <c r="A928" s="43"/>
      <c r="B928" s="43"/>
      <c r="C928" s="43"/>
      <c r="D928" s="43"/>
      <c r="E928" s="43"/>
      <c r="F928" s="43"/>
      <c r="G928" s="43"/>
    </row>
    <row r="929" spans="1:7" ht="15.75" customHeight="1">
      <c r="A929" s="43"/>
      <c r="B929" s="43"/>
      <c r="C929" s="43"/>
      <c r="D929" s="43"/>
      <c r="E929" s="43"/>
      <c r="F929" s="43"/>
      <c r="G929" s="43"/>
    </row>
    <row r="930" spans="1:7" ht="15.75" customHeight="1">
      <c r="A930" s="43"/>
      <c r="B930" s="43"/>
      <c r="C930" s="43"/>
      <c r="D930" s="43"/>
      <c r="E930" s="43"/>
      <c r="F930" s="43"/>
      <c r="G930" s="43"/>
    </row>
    <row r="931" spans="1:7" ht="15.75" customHeight="1">
      <c r="A931" s="43"/>
      <c r="B931" s="43"/>
      <c r="C931" s="43"/>
      <c r="D931" s="43"/>
      <c r="E931" s="43"/>
      <c r="F931" s="43"/>
      <c r="G931" s="43"/>
    </row>
    <row r="932" spans="1:7" ht="15.75" customHeight="1">
      <c r="A932" s="43"/>
      <c r="B932" s="43"/>
      <c r="C932" s="43"/>
      <c r="D932" s="43"/>
      <c r="E932" s="43"/>
      <c r="F932" s="43"/>
      <c r="G932" s="43"/>
    </row>
    <row r="933" spans="1:7" ht="15.75" customHeight="1">
      <c r="A933" s="43"/>
      <c r="B933" s="43"/>
      <c r="C933" s="43"/>
      <c r="D933" s="43"/>
      <c r="E933" s="43"/>
      <c r="F933" s="43"/>
      <c r="G933" s="43"/>
    </row>
    <row r="934" spans="1:7" ht="15.75" customHeight="1">
      <c r="A934" s="43"/>
      <c r="B934" s="43"/>
      <c r="C934" s="43"/>
      <c r="D934" s="43"/>
      <c r="E934" s="43"/>
      <c r="F934" s="43"/>
      <c r="G934" s="43"/>
    </row>
    <row r="935" spans="1:7" ht="15.75" customHeight="1">
      <c r="A935" s="43"/>
      <c r="B935" s="43"/>
      <c r="C935" s="43"/>
      <c r="D935" s="43"/>
      <c r="E935" s="43"/>
      <c r="F935" s="43"/>
      <c r="G935" s="43"/>
    </row>
    <row r="936" spans="1:7" ht="15.75" customHeight="1">
      <c r="A936" s="43"/>
      <c r="B936" s="43"/>
      <c r="C936" s="43"/>
      <c r="D936" s="43"/>
      <c r="E936" s="43"/>
      <c r="F936" s="43"/>
      <c r="G936" s="43"/>
    </row>
    <row r="937" spans="1:7" ht="15.75" customHeight="1">
      <c r="A937" s="43"/>
      <c r="B937" s="43"/>
      <c r="C937" s="43"/>
      <c r="D937" s="43"/>
      <c r="E937" s="43"/>
      <c r="F937" s="43"/>
      <c r="G937" s="43"/>
    </row>
    <row r="938" spans="1:7" ht="15.75" customHeight="1">
      <c r="A938" s="43"/>
      <c r="B938" s="43"/>
      <c r="C938" s="43"/>
      <c r="D938" s="43"/>
      <c r="E938" s="43"/>
      <c r="F938" s="43"/>
      <c r="G938" s="43"/>
    </row>
    <row r="939" spans="1:7" ht="15.75" customHeight="1">
      <c r="A939" s="43"/>
      <c r="B939" s="43"/>
      <c r="C939" s="43"/>
      <c r="D939" s="43"/>
      <c r="E939" s="43"/>
      <c r="F939" s="43"/>
      <c r="G939" s="43"/>
    </row>
    <row r="940" spans="1:7" ht="15.75" customHeight="1">
      <c r="A940" s="43"/>
      <c r="B940" s="43"/>
      <c r="C940" s="43"/>
      <c r="D940" s="43"/>
      <c r="E940" s="43"/>
      <c r="F940" s="43"/>
      <c r="G940" s="43"/>
    </row>
    <row r="941" spans="1:7" ht="15.75" customHeight="1">
      <c r="A941" s="43"/>
      <c r="B941" s="43"/>
      <c r="C941" s="43"/>
      <c r="D941" s="43"/>
      <c r="E941" s="43"/>
      <c r="F941" s="43"/>
      <c r="G941" s="43"/>
    </row>
    <row r="942" spans="1:7" ht="15.75" customHeight="1">
      <c r="A942" s="43"/>
      <c r="B942" s="43"/>
      <c r="C942" s="43"/>
      <c r="D942" s="43"/>
      <c r="E942" s="43"/>
      <c r="F942" s="43"/>
      <c r="G942" s="43"/>
    </row>
    <row r="943" spans="1:7" ht="15.75" customHeight="1">
      <c r="A943" s="43"/>
      <c r="B943" s="43"/>
      <c r="C943" s="43"/>
      <c r="D943" s="43"/>
      <c r="E943" s="43"/>
      <c r="F943" s="43"/>
      <c r="G943" s="43"/>
    </row>
    <row r="944" spans="1:7" ht="15.75" customHeight="1">
      <c r="A944" s="43"/>
      <c r="B944" s="43"/>
      <c r="C944" s="43"/>
      <c r="D944" s="43"/>
      <c r="E944" s="43"/>
      <c r="F944" s="43"/>
      <c r="G944" s="43"/>
    </row>
    <row r="945" spans="1:7" ht="15.75" customHeight="1">
      <c r="A945" s="43"/>
      <c r="B945" s="43"/>
      <c r="C945" s="43"/>
      <c r="D945" s="43"/>
      <c r="E945" s="43"/>
      <c r="F945" s="43"/>
      <c r="G945" s="43"/>
    </row>
    <row r="946" spans="1:7" ht="15.75" customHeight="1">
      <c r="A946" s="43"/>
      <c r="B946" s="43"/>
      <c r="C946" s="43"/>
      <c r="D946" s="43"/>
      <c r="E946" s="43"/>
      <c r="F946" s="43"/>
      <c r="G946" s="43"/>
    </row>
    <row r="947" spans="1:7" ht="15.75" customHeight="1">
      <c r="A947" s="43"/>
      <c r="B947" s="43"/>
      <c r="C947" s="43"/>
      <c r="D947" s="43"/>
      <c r="E947" s="43"/>
      <c r="F947" s="43"/>
      <c r="G947" s="43"/>
    </row>
    <row r="948" spans="1:7" ht="15.75" customHeight="1">
      <c r="A948" s="43"/>
      <c r="B948" s="43"/>
      <c r="C948" s="43"/>
      <c r="D948" s="43"/>
      <c r="E948" s="43"/>
      <c r="F948" s="43"/>
      <c r="G948" s="43"/>
    </row>
    <row r="949" spans="1:7" ht="15.75" customHeight="1">
      <c r="A949" s="43"/>
      <c r="B949" s="43"/>
      <c r="C949" s="43"/>
      <c r="D949" s="43"/>
      <c r="E949" s="43"/>
      <c r="F949" s="43"/>
      <c r="G949" s="43"/>
    </row>
    <row r="950" spans="1:7" ht="15.75" customHeight="1">
      <c r="A950" s="43"/>
      <c r="B950" s="43"/>
      <c r="C950" s="43"/>
      <c r="D950" s="43"/>
      <c r="E950" s="43"/>
      <c r="F950" s="43"/>
      <c r="G950" s="43"/>
    </row>
    <row r="951" spans="1:7" ht="15.75" customHeight="1">
      <c r="A951" s="43"/>
      <c r="B951" s="43"/>
      <c r="C951" s="43"/>
      <c r="D951" s="43"/>
      <c r="E951" s="43"/>
      <c r="F951" s="43"/>
      <c r="G951" s="43"/>
    </row>
    <row r="952" spans="1:7" ht="15.75" customHeight="1">
      <c r="A952" s="43"/>
      <c r="B952" s="43"/>
      <c r="C952" s="43"/>
      <c r="D952" s="43"/>
      <c r="E952" s="43"/>
      <c r="F952" s="43"/>
      <c r="G952" s="43"/>
    </row>
    <row r="953" spans="1:7" ht="15.75" customHeight="1">
      <c r="A953" s="43"/>
      <c r="B953" s="43"/>
      <c r="C953" s="43"/>
      <c r="D953" s="43"/>
      <c r="E953" s="43"/>
      <c r="F953" s="43"/>
      <c r="G953" s="43"/>
    </row>
    <row r="954" spans="1:7" ht="15.75" customHeight="1">
      <c r="A954" s="43"/>
      <c r="B954" s="43"/>
      <c r="C954" s="43"/>
      <c r="D954" s="43"/>
      <c r="E954" s="43"/>
      <c r="F954" s="43"/>
      <c r="G954" s="43"/>
    </row>
    <row r="955" spans="1:7" ht="15.75" customHeight="1">
      <c r="A955" s="43"/>
      <c r="B955" s="43"/>
      <c r="C955" s="43"/>
      <c r="D955" s="43"/>
      <c r="E955" s="43"/>
      <c r="F955" s="43"/>
      <c r="G955" s="43"/>
    </row>
    <row r="956" spans="1:7" ht="15.75" customHeight="1">
      <c r="A956" s="43"/>
      <c r="B956" s="43"/>
      <c r="C956" s="43"/>
      <c r="D956" s="43"/>
      <c r="E956" s="43"/>
      <c r="F956" s="43"/>
      <c r="G956" s="43"/>
    </row>
    <row r="957" spans="1:7" ht="15.75" customHeight="1">
      <c r="A957" s="43"/>
      <c r="B957" s="43"/>
      <c r="C957" s="43"/>
      <c r="D957" s="43"/>
      <c r="E957" s="43"/>
      <c r="F957" s="43"/>
      <c r="G957" s="43"/>
    </row>
    <row r="958" spans="1:7" ht="15.75" customHeight="1">
      <c r="A958" s="43"/>
      <c r="B958" s="43"/>
      <c r="C958" s="43"/>
      <c r="D958" s="43"/>
      <c r="E958" s="43"/>
      <c r="F958" s="43"/>
      <c r="G958" s="43"/>
    </row>
    <row r="959" spans="1:7" ht="15.75" customHeight="1">
      <c r="A959" s="43"/>
      <c r="B959" s="43"/>
      <c r="C959" s="43"/>
      <c r="D959" s="43"/>
      <c r="E959" s="43"/>
      <c r="F959" s="43"/>
      <c r="G959" s="43"/>
    </row>
    <row r="960" spans="1:7" ht="15.75" customHeight="1">
      <c r="A960" s="43"/>
      <c r="B960" s="43"/>
      <c r="C960" s="43"/>
      <c r="D960" s="43"/>
      <c r="E960" s="43"/>
      <c r="F960" s="43"/>
      <c r="G960" s="43"/>
    </row>
    <row r="961" spans="1:7" ht="15.75" customHeight="1">
      <c r="A961" s="43"/>
      <c r="B961" s="43"/>
      <c r="C961" s="43"/>
      <c r="D961" s="43"/>
      <c r="E961" s="43"/>
      <c r="F961" s="43"/>
      <c r="G961" s="43"/>
    </row>
    <row r="962" spans="1:7" ht="15.75" customHeight="1">
      <c r="A962" s="43"/>
      <c r="B962" s="43"/>
      <c r="C962" s="43"/>
      <c r="D962" s="43"/>
      <c r="E962" s="43"/>
      <c r="F962" s="43"/>
      <c r="G962" s="43"/>
    </row>
    <row r="963" spans="1:7" ht="15.75" customHeight="1">
      <c r="A963" s="43"/>
      <c r="B963" s="43"/>
      <c r="C963" s="43"/>
      <c r="D963" s="43"/>
      <c r="E963" s="43"/>
      <c r="F963" s="43"/>
      <c r="G963" s="43"/>
    </row>
    <row r="964" spans="1:7" ht="15.75" customHeight="1">
      <c r="A964" s="43"/>
      <c r="B964" s="43"/>
      <c r="C964" s="43"/>
      <c r="D964" s="43"/>
      <c r="E964" s="43"/>
      <c r="F964" s="43"/>
      <c r="G964" s="43"/>
    </row>
    <row r="965" spans="1:7" ht="15.75" customHeight="1">
      <c r="A965" s="43"/>
      <c r="B965" s="43"/>
      <c r="C965" s="43"/>
      <c r="D965" s="43"/>
      <c r="E965" s="43"/>
      <c r="F965" s="43"/>
      <c r="G965" s="43"/>
    </row>
    <row r="966" spans="1:7" ht="15.75" customHeight="1">
      <c r="A966" s="43"/>
      <c r="B966" s="43"/>
      <c r="C966" s="43"/>
      <c r="D966" s="43"/>
      <c r="E966" s="43"/>
      <c r="F966" s="43"/>
      <c r="G966" s="43"/>
    </row>
    <row r="967" spans="1:7" ht="15.75" customHeight="1">
      <c r="A967" s="43"/>
      <c r="B967" s="43"/>
      <c r="C967" s="43"/>
      <c r="D967" s="43"/>
      <c r="E967" s="43"/>
      <c r="F967" s="43"/>
      <c r="G967" s="43"/>
    </row>
    <row r="968" spans="1:7" ht="15.75" customHeight="1">
      <c r="A968" s="43"/>
      <c r="B968" s="43"/>
      <c r="C968" s="43"/>
      <c r="D968" s="43"/>
      <c r="E968" s="43"/>
      <c r="F968" s="43"/>
      <c r="G968" s="43"/>
    </row>
    <row r="969" spans="1:7" ht="15.75" customHeight="1">
      <c r="A969" s="43"/>
      <c r="B969" s="43"/>
      <c r="C969" s="43"/>
      <c r="D969" s="43"/>
      <c r="E969" s="43"/>
      <c r="F969" s="43"/>
      <c r="G969" s="43"/>
    </row>
    <row r="970" spans="1:7" ht="15.75" customHeight="1">
      <c r="A970" s="43"/>
      <c r="B970" s="43"/>
      <c r="C970" s="43"/>
      <c r="D970" s="43"/>
      <c r="E970" s="43"/>
      <c r="F970" s="43"/>
      <c r="G970" s="43"/>
    </row>
    <row r="971" spans="1:7" ht="15.75" customHeight="1">
      <c r="A971" s="43"/>
      <c r="B971" s="43"/>
      <c r="C971" s="43"/>
      <c r="D971" s="43"/>
      <c r="E971" s="43"/>
      <c r="F971" s="43"/>
      <c r="G971" s="43"/>
    </row>
    <row r="972" spans="1:7" ht="15.75" customHeight="1">
      <c r="A972" s="43"/>
      <c r="B972" s="43"/>
      <c r="C972" s="43"/>
      <c r="D972" s="43"/>
      <c r="E972" s="43"/>
      <c r="F972" s="43"/>
      <c r="G972" s="43"/>
    </row>
    <row r="973" spans="1:7" ht="15.75" customHeight="1">
      <c r="A973" s="43"/>
      <c r="B973" s="43"/>
      <c r="C973" s="43"/>
      <c r="D973" s="43"/>
      <c r="E973" s="43"/>
      <c r="F973" s="43"/>
      <c r="G973" s="43"/>
    </row>
    <row r="974" spans="1:7" ht="15.75" customHeight="1">
      <c r="A974" s="43"/>
      <c r="B974" s="43"/>
      <c r="C974" s="43"/>
      <c r="D974" s="43"/>
      <c r="E974" s="43"/>
      <c r="F974" s="43"/>
      <c r="G974" s="43"/>
    </row>
    <row r="975" spans="1:7" ht="15.75" customHeight="1">
      <c r="A975" s="43"/>
      <c r="B975" s="43"/>
      <c r="C975" s="43"/>
      <c r="D975" s="43"/>
      <c r="E975" s="43"/>
      <c r="F975" s="43"/>
      <c r="G975" s="43"/>
    </row>
    <row r="976" spans="1:7" ht="15.75" customHeight="1">
      <c r="A976" s="43"/>
      <c r="B976" s="43"/>
      <c r="C976" s="43"/>
      <c r="D976" s="43"/>
      <c r="E976" s="43"/>
      <c r="F976" s="43"/>
      <c r="G976" s="43"/>
    </row>
    <row r="977" spans="1:7" ht="15.75" customHeight="1">
      <c r="A977" s="43"/>
      <c r="B977" s="43"/>
      <c r="C977" s="43"/>
      <c r="D977" s="43"/>
      <c r="E977" s="43"/>
      <c r="F977" s="43"/>
      <c r="G977" s="43"/>
    </row>
    <row r="978" spans="1:7" ht="15.75" customHeight="1">
      <c r="A978" s="43"/>
      <c r="B978" s="43"/>
      <c r="C978" s="43"/>
      <c r="D978" s="43"/>
      <c r="E978" s="43"/>
      <c r="F978" s="43"/>
      <c r="G978" s="43"/>
    </row>
    <row r="979" spans="1:7" ht="15.75" customHeight="1">
      <c r="A979" s="43"/>
      <c r="B979" s="43"/>
      <c r="C979" s="43"/>
      <c r="D979" s="43"/>
      <c r="E979" s="43"/>
      <c r="F979" s="43"/>
      <c r="G979" s="43"/>
    </row>
    <row r="980" spans="1:7" ht="15.75" customHeight="1">
      <c r="A980" s="43"/>
      <c r="B980" s="43"/>
      <c r="C980" s="43"/>
      <c r="D980" s="43"/>
      <c r="E980" s="43"/>
      <c r="F980" s="43"/>
      <c r="G980" s="43"/>
    </row>
    <row r="981" spans="1:7" ht="15.75" customHeight="1">
      <c r="A981" s="43"/>
      <c r="B981" s="43"/>
      <c r="C981" s="43"/>
      <c r="D981" s="43"/>
      <c r="E981" s="43"/>
      <c r="F981" s="43"/>
      <c r="G981" s="43"/>
    </row>
    <row r="982" spans="1:7" ht="15.75" customHeight="1">
      <c r="A982" s="43"/>
      <c r="B982" s="43"/>
      <c r="C982" s="43"/>
      <c r="D982" s="43"/>
      <c r="E982" s="43"/>
      <c r="F982" s="43"/>
      <c r="G982" s="43"/>
    </row>
    <row r="983" spans="1:7" ht="15.75" customHeight="1">
      <c r="A983" s="43"/>
      <c r="B983" s="43"/>
      <c r="C983" s="43"/>
      <c r="D983" s="43"/>
      <c r="E983" s="43"/>
      <c r="F983" s="43"/>
      <c r="G983" s="43"/>
    </row>
    <row r="984" spans="1:7" ht="15.75" customHeight="1">
      <c r="A984" s="43"/>
      <c r="B984" s="43"/>
      <c r="C984" s="43"/>
      <c r="D984" s="43"/>
      <c r="E984" s="43"/>
      <c r="F984" s="43"/>
      <c r="G984" s="43"/>
    </row>
    <row r="985" spans="1:7" ht="15.75" customHeight="1">
      <c r="A985" s="43"/>
      <c r="B985" s="43"/>
      <c r="C985" s="43"/>
      <c r="D985" s="43"/>
      <c r="E985" s="43"/>
      <c r="F985" s="43"/>
      <c r="G985" s="43"/>
    </row>
    <row r="986" spans="1:7" ht="15.75" customHeight="1">
      <c r="A986" s="43"/>
      <c r="B986" s="43"/>
      <c r="C986" s="43"/>
      <c r="D986" s="43"/>
      <c r="E986" s="43"/>
      <c r="F986" s="43"/>
      <c r="G986" s="43"/>
    </row>
    <row r="987" spans="1:7" ht="15.75" customHeight="1">
      <c r="A987" s="43"/>
      <c r="B987" s="43"/>
      <c r="C987" s="43"/>
      <c r="D987" s="43"/>
      <c r="E987" s="43"/>
      <c r="F987" s="43"/>
      <c r="G987" s="43"/>
    </row>
    <row r="988" spans="1:7" ht="15.75" customHeight="1">
      <c r="A988" s="43"/>
      <c r="B988" s="43"/>
      <c r="C988" s="43"/>
      <c r="D988" s="43"/>
      <c r="E988" s="43"/>
      <c r="F988" s="43"/>
      <c r="G988" s="43"/>
    </row>
    <row r="989" spans="1:7" ht="15.75" customHeight="1">
      <c r="A989" s="43"/>
      <c r="B989" s="43"/>
      <c r="C989" s="43"/>
      <c r="D989" s="43"/>
      <c r="E989" s="43"/>
      <c r="F989" s="43"/>
      <c r="G989" s="43"/>
    </row>
    <row r="990" spans="1:7" ht="15.75" customHeight="1">
      <c r="A990" s="43"/>
      <c r="B990" s="43"/>
      <c r="C990" s="43"/>
      <c r="D990" s="43"/>
      <c r="E990" s="43"/>
      <c r="F990" s="43"/>
      <c r="G990" s="43"/>
    </row>
    <row r="991" spans="1:7" ht="15.75" customHeight="1">
      <c r="A991" s="43"/>
      <c r="B991" s="43"/>
      <c r="C991" s="43"/>
      <c r="D991" s="43"/>
      <c r="E991" s="43"/>
      <c r="F991" s="43"/>
      <c r="G991" s="43"/>
    </row>
    <row r="992" spans="1:7" ht="15.75" customHeight="1">
      <c r="A992" s="43"/>
      <c r="B992" s="43"/>
      <c r="C992" s="43"/>
      <c r="D992" s="43"/>
      <c r="E992" s="43"/>
      <c r="F992" s="43"/>
      <c r="G992" s="43"/>
    </row>
    <row r="993" spans="1:7" ht="15.75" customHeight="1">
      <c r="A993" s="43"/>
      <c r="B993" s="43"/>
      <c r="C993" s="43"/>
      <c r="D993" s="43"/>
      <c r="E993" s="43"/>
      <c r="F993" s="43"/>
      <c r="G993" s="43"/>
    </row>
    <row r="994" spans="1:7" ht="15.75" customHeight="1">
      <c r="A994" s="43"/>
      <c r="B994" s="43"/>
      <c r="C994" s="43"/>
      <c r="D994" s="43"/>
      <c r="E994" s="43"/>
      <c r="F994" s="43"/>
      <c r="G994" s="43"/>
    </row>
    <row r="995" spans="1:7" ht="15.75" customHeight="1">
      <c r="A995" s="43"/>
      <c r="B995" s="43"/>
      <c r="C995" s="43"/>
      <c r="D995" s="43"/>
      <c r="E995" s="43"/>
      <c r="F995" s="43"/>
      <c r="G995" s="43"/>
    </row>
    <row r="996" spans="1:7" ht="15.75" customHeight="1">
      <c r="A996" s="43"/>
      <c r="B996" s="43"/>
      <c r="C996" s="43"/>
      <c r="D996" s="43"/>
      <c r="E996" s="43"/>
      <c r="F996" s="43"/>
      <c r="G996" s="43"/>
    </row>
    <row r="997" spans="1:7" ht="15.75" customHeight="1">
      <c r="A997" s="43"/>
      <c r="B997" s="43"/>
      <c r="C997" s="43"/>
      <c r="D997" s="43"/>
      <c r="E997" s="43"/>
      <c r="F997" s="43"/>
      <c r="G997" s="43"/>
    </row>
    <row r="998" spans="1:7" ht="15.75" customHeight="1">
      <c r="A998" s="43"/>
      <c r="B998" s="43"/>
      <c r="C998" s="43"/>
      <c r="D998" s="43"/>
      <c r="E998" s="43"/>
      <c r="F998" s="43"/>
      <c r="G998" s="43"/>
    </row>
    <row r="999" spans="1:7" ht="15.75" customHeight="1">
      <c r="A999" s="43"/>
      <c r="B999" s="43"/>
      <c r="C999" s="43"/>
      <c r="D999" s="43"/>
      <c r="E999" s="43"/>
      <c r="F999" s="43"/>
      <c r="G999" s="43"/>
    </row>
    <row r="1000" spans="1:7" ht="15.75" customHeight="1">
      <c r="A1000" s="43"/>
      <c r="B1000" s="43"/>
      <c r="C1000" s="43"/>
      <c r="D1000" s="43"/>
      <c r="E1000" s="43"/>
      <c r="F1000" s="43"/>
      <c r="G1000" s="43"/>
    </row>
    <row r="1001" spans="1:7" ht="15.75" customHeight="1">
      <c r="A1001" s="43"/>
      <c r="B1001" s="43"/>
      <c r="C1001" s="43"/>
      <c r="D1001" s="43"/>
      <c r="E1001" s="43"/>
      <c r="F1001" s="43"/>
      <c r="G1001" s="4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V1033"/>
  <sheetViews>
    <sheetView tabSelected="1" zoomScale="85" zoomScaleNormal="85" workbookViewId="0">
      <pane xSplit="7" ySplit="2" topLeftCell="H3" activePane="bottomRight" state="frozen"/>
      <selection pane="topRight"/>
      <selection pane="bottomLeft"/>
      <selection pane="bottomRight" activeCell="F3" sqref="F3"/>
    </sheetView>
  </sheetViews>
  <sheetFormatPr defaultColWidth="12.59765625" defaultRowHeight="15.75" customHeight="1"/>
  <cols>
    <col min="2" max="2" width="11.86328125" customWidth="1"/>
    <col min="3" max="3" width="17.3984375" customWidth="1"/>
    <col min="4" max="5" width="17.1328125" customWidth="1"/>
    <col min="6" max="6" width="40.73046875" customWidth="1"/>
    <col min="7" max="7" width="41.59765625" customWidth="1"/>
    <col min="8" max="8" width="14.3984375" customWidth="1"/>
    <col min="9" max="9" width="26.46484375" customWidth="1"/>
    <col min="10" max="10" width="11.86328125" customWidth="1"/>
    <col min="11" max="11" width="9.73046875" customWidth="1"/>
    <col min="12" max="12" width="13.3984375" customWidth="1"/>
    <col min="14" max="14" width="26.73046875" customWidth="1"/>
    <col min="18" max="18" width="12.59765625" hidden="1"/>
    <col min="19" max="19" width="17.3984375" hidden="1" customWidth="1"/>
    <col min="20" max="20" width="15.1328125" hidden="1" customWidth="1"/>
    <col min="21" max="21" width="16.1328125" hidden="1" customWidth="1"/>
    <col min="22" max="22" width="31.1328125" hidden="1" customWidth="1"/>
    <col min="23" max="25" width="19" hidden="1" customWidth="1"/>
    <col min="38" max="38" width="21.265625" customWidth="1"/>
    <col min="39" max="39" width="19.59765625" customWidth="1"/>
  </cols>
  <sheetData>
    <row r="1" spans="1:48" ht="13.15">
      <c r="A1" s="41"/>
      <c r="G1" s="41"/>
      <c r="H1" s="41"/>
      <c r="K1" s="41"/>
      <c r="L1" s="55"/>
      <c r="M1" s="55"/>
      <c r="N1" s="55"/>
      <c r="O1" s="55"/>
      <c r="P1" s="55"/>
      <c r="Q1" s="55"/>
      <c r="R1" s="55" t="s">
        <v>43</v>
      </c>
      <c r="S1" s="55"/>
      <c r="T1" s="55"/>
      <c r="U1" s="55"/>
      <c r="V1" s="55"/>
      <c r="W1" s="41"/>
      <c r="X1" s="41"/>
      <c r="Y1" s="41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M1" s="41"/>
      <c r="AN1" s="55"/>
      <c r="AO1" s="55"/>
      <c r="AP1" s="55"/>
      <c r="AQ1" s="55"/>
      <c r="AR1" s="55"/>
      <c r="AS1" s="55"/>
      <c r="AT1" s="55"/>
      <c r="AU1" s="55"/>
      <c r="AV1" s="55"/>
    </row>
    <row r="2" spans="1:48" ht="39.4">
      <c r="A2" s="42" t="s">
        <v>44</v>
      </c>
      <c r="B2" s="42" t="s">
        <v>45</v>
      </c>
      <c r="C2" s="100" t="s">
        <v>0</v>
      </c>
      <c r="D2" s="42" t="s">
        <v>46</v>
      </c>
      <c r="E2" s="42" t="s">
        <v>47</v>
      </c>
      <c r="F2" s="42" t="s">
        <v>48</v>
      </c>
      <c r="G2" s="42" t="s">
        <v>49</v>
      </c>
      <c r="H2" s="42" t="s">
        <v>50</v>
      </c>
      <c r="I2" s="100" t="s">
        <v>51</v>
      </c>
      <c r="J2" s="42" t="s">
        <v>52</v>
      </c>
      <c r="K2" s="42" t="s">
        <v>53</v>
      </c>
      <c r="L2" s="100" t="s">
        <v>54</v>
      </c>
      <c r="M2" s="108"/>
      <c r="N2" s="109"/>
      <c r="O2" s="109"/>
      <c r="P2" s="100"/>
      <c r="Q2" s="100"/>
      <c r="R2" s="100" t="s">
        <v>55</v>
      </c>
      <c r="S2" s="100" t="s">
        <v>56</v>
      </c>
      <c r="T2" s="100" t="s">
        <v>53</v>
      </c>
      <c r="U2" s="100" t="s">
        <v>54</v>
      </c>
      <c r="V2" s="100" t="s">
        <v>57</v>
      </c>
      <c r="W2" s="42" t="s">
        <v>58</v>
      </c>
      <c r="X2" s="42" t="s">
        <v>59</v>
      </c>
      <c r="Y2" s="42" t="s">
        <v>60</v>
      </c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42" t="s">
        <v>61</v>
      </c>
      <c r="AM2" s="42" t="s">
        <v>62</v>
      </c>
      <c r="AN2" s="100"/>
      <c r="AO2" s="100"/>
      <c r="AP2" s="100"/>
      <c r="AQ2" s="100"/>
      <c r="AR2" s="100"/>
      <c r="AS2" s="100"/>
      <c r="AT2" s="100"/>
      <c r="AU2" s="100"/>
      <c r="AV2" s="100"/>
    </row>
    <row r="3" spans="1:48" ht="39">
      <c r="A3" s="41" t="s">
        <v>63</v>
      </c>
      <c r="B3" s="43" t="s">
        <v>64</v>
      </c>
      <c r="C3" s="43" t="s">
        <v>64</v>
      </c>
      <c r="D3" s="43" t="s">
        <v>65</v>
      </c>
      <c r="E3" s="43" t="s">
        <v>66</v>
      </c>
      <c r="F3" s="43" t="s">
        <v>67</v>
      </c>
      <c r="G3" s="43" t="s">
        <v>68</v>
      </c>
      <c r="I3" s="105" t="s">
        <v>69</v>
      </c>
      <c r="J3" s="78" t="s">
        <v>70</v>
      </c>
      <c r="K3" s="97">
        <v>32</v>
      </c>
      <c r="M3" s="107"/>
      <c r="N3" s="97"/>
      <c r="R3" s="22" t="s">
        <v>71</v>
      </c>
      <c r="S3" s="43" t="s">
        <v>72</v>
      </c>
      <c r="T3" s="43">
        <v>60</v>
      </c>
      <c r="U3" s="73"/>
      <c r="V3" s="73"/>
      <c r="W3" s="43"/>
      <c r="X3" s="43"/>
      <c r="Y3" s="43" t="s">
        <v>73</v>
      </c>
      <c r="AL3" s="43"/>
      <c r="AM3" s="43" t="s">
        <v>74</v>
      </c>
    </row>
    <row r="4" spans="1:48" ht="102.75">
      <c r="A4" s="41"/>
      <c r="B4" s="43"/>
      <c r="C4" s="43"/>
      <c r="D4" s="43"/>
      <c r="E4" s="43"/>
      <c r="F4" s="43"/>
      <c r="G4" s="43"/>
      <c r="H4" s="43"/>
      <c r="I4" s="105" t="s">
        <v>75</v>
      </c>
      <c r="J4" s="78" t="s">
        <v>70</v>
      </c>
      <c r="K4" s="97">
        <v>32</v>
      </c>
      <c r="L4" s="43" t="s">
        <v>76</v>
      </c>
      <c r="M4" s="107"/>
      <c r="N4" s="97"/>
      <c r="Q4" s="43"/>
      <c r="R4" s="22" t="s">
        <v>77</v>
      </c>
      <c r="S4" s="43" t="s">
        <v>72</v>
      </c>
      <c r="T4" s="43">
        <v>120</v>
      </c>
      <c r="U4" s="22"/>
      <c r="V4" s="22"/>
      <c r="W4" s="43"/>
      <c r="X4" s="43"/>
      <c r="Y4" s="43"/>
      <c r="AL4" s="43"/>
      <c r="AM4" s="43"/>
    </row>
    <row r="5" spans="1:48" ht="38.65">
      <c r="A5" s="41"/>
      <c r="B5" s="43"/>
      <c r="C5" s="43"/>
      <c r="D5" s="22"/>
      <c r="E5" s="22"/>
      <c r="F5" s="43"/>
      <c r="G5" s="43"/>
      <c r="H5" s="43"/>
      <c r="I5" s="43"/>
      <c r="J5" s="43"/>
      <c r="R5" s="22" t="s">
        <v>78</v>
      </c>
      <c r="S5" s="43" t="s">
        <v>72</v>
      </c>
      <c r="T5" s="43" t="s">
        <v>79</v>
      </c>
      <c r="U5" s="110"/>
      <c r="V5" s="110"/>
      <c r="W5" s="43"/>
      <c r="X5" s="43"/>
      <c r="Y5" s="43"/>
      <c r="AL5" s="43"/>
      <c r="AM5" s="43"/>
    </row>
    <row r="6" spans="1:48" ht="13.15">
      <c r="A6" s="41"/>
      <c r="B6" s="43"/>
      <c r="C6" s="43"/>
      <c r="D6" s="22"/>
      <c r="E6" s="22"/>
      <c r="F6" s="43"/>
      <c r="G6" s="43"/>
      <c r="H6" s="43"/>
      <c r="I6" s="43"/>
      <c r="J6" s="43"/>
      <c r="K6" s="43"/>
      <c r="W6" s="43"/>
      <c r="X6" s="43"/>
      <c r="Y6" s="43"/>
      <c r="AL6" s="43"/>
      <c r="AM6" s="43"/>
    </row>
    <row r="7" spans="1:48" ht="13.15">
      <c r="A7" s="41"/>
      <c r="B7" s="43"/>
      <c r="C7" s="43"/>
      <c r="D7" s="22"/>
      <c r="E7" s="22"/>
      <c r="F7" s="43"/>
      <c r="G7" s="43"/>
      <c r="H7" s="43"/>
      <c r="I7" s="43"/>
      <c r="J7" s="43"/>
      <c r="K7" s="43"/>
      <c r="W7" s="43"/>
      <c r="X7" s="43"/>
      <c r="Y7" s="43"/>
      <c r="AL7" s="43"/>
      <c r="AM7" s="43"/>
    </row>
    <row r="8" spans="1:48" ht="38.65">
      <c r="A8" s="101"/>
      <c r="B8" s="53" t="s">
        <v>64</v>
      </c>
      <c r="C8" s="53" t="s">
        <v>64</v>
      </c>
      <c r="D8" s="53" t="s">
        <v>65</v>
      </c>
      <c r="E8" s="53" t="s">
        <v>80</v>
      </c>
      <c r="F8" s="53" t="s">
        <v>81</v>
      </c>
      <c r="G8" s="53" t="s">
        <v>82</v>
      </c>
      <c r="I8" s="53"/>
      <c r="J8" s="53"/>
      <c r="L8" s="53" t="s">
        <v>83</v>
      </c>
      <c r="M8" s="77"/>
      <c r="N8" s="77"/>
      <c r="O8" s="77"/>
      <c r="P8" s="77"/>
      <c r="Q8" s="77"/>
      <c r="R8" s="77"/>
      <c r="S8" s="77"/>
      <c r="T8" s="77"/>
      <c r="U8" s="77"/>
      <c r="V8" s="77"/>
      <c r="W8" s="53"/>
      <c r="X8" s="53"/>
      <c r="Y8" s="53" t="s">
        <v>84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53"/>
      <c r="AM8" s="53" t="s">
        <v>74</v>
      </c>
      <c r="AN8" s="77"/>
      <c r="AO8" s="77"/>
      <c r="AP8" s="77"/>
      <c r="AQ8" s="77"/>
      <c r="AR8" s="77"/>
      <c r="AS8" s="77"/>
      <c r="AT8" s="77"/>
      <c r="AU8" s="77"/>
      <c r="AV8" s="77"/>
    </row>
    <row r="9" spans="1:48" ht="76.900000000000006">
      <c r="A9" s="41"/>
      <c r="B9" s="43" t="s">
        <v>64</v>
      </c>
      <c r="C9" s="43" t="s">
        <v>64</v>
      </c>
      <c r="D9" s="43" t="s">
        <v>65</v>
      </c>
      <c r="E9" s="43" t="s">
        <v>85</v>
      </c>
      <c r="F9" s="43" t="s">
        <v>86</v>
      </c>
      <c r="G9" s="43" t="s">
        <v>87</v>
      </c>
      <c r="I9" s="43"/>
      <c r="J9" s="43"/>
      <c r="L9" s="43" t="s">
        <v>88</v>
      </c>
      <c r="Q9" s="44"/>
      <c r="W9" s="43"/>
      <c r="X9" s="43"/>
      <c r="Y9" s="43"/>
      <c r="AL9" s="43"/>
      <c r="AM9" s="43" t="s">
        <v>89</v>
      </c>
    </row>
    <row r="10" spans="1:48" ht="13.15">
      <c r="A10" s="41" t="s">
        <v>90</v>
      </c>
      <c r="B10" s="43"/>
      <c r="C10" s="53"/>
      <c r="D10" s="53"/>
      <c r="E10" s="53"/>
      <c r="F10" s="77"/>
      <c r="G10" s="53"/>
      <c r="H10" s="43"/>
      <c r="I10" s="43"/>
      <c r="J10" s="43"/>
      <c r="K10" s="43"/>
      <c r="W10" s="43"/>
      <c r="X10" s="43"/>
      <c r="Y10" s="43"/>
      <c r="AL10" s="43"/>
      <c r="AM10" s="43"/>
    </row>
    <row r="11" spans="1:48" ht="25.9">
      <c r="A11" s="41"/>
      <c r="B11" s="43" t="s">
        <v>64</v>
      </c>
      <c r="C11" s="43" t="s">
        <v>64</v>
      </c>
      <c r="D11" s="43" t="s">
        <v>65</v>
      </c>
      <c r="E11" s="43" t="s">
        <v>91</v>
      </c>
      <c r="F11" s="43" t="s">
        <v>92</v>
      </c>
      <c r="H11" s="43" t="s">
        <v>93</v>
      </c>
      <c r="I11" s="43"/>
      <c r="J11" s="44" t="s">
        <v>70</v>
      </c>
      <c r="K11" s="44">
        <v>10</v>
      </c>
      <c r="W11" s="43"/>
      <c r="X11" s="43"/>
      <c r="Y11" s="43" t="s">
        <v>94</v>
      </c>
      <c r="AL11" s="43"/>
      <c r="AM11" s="43"/>
    </row>
    <row r="12" spans="1:48" ht="15.4">
      <c r="A12" s="41"/>
      <c r="B12" s="43"/>
      <c r="C12" s="43"/>
      <c r="D12" s="43"/>
      <c r="E12" s="43"/>
      <c r="F12" s="43"/>
      <c r="H12" s="43"/>
      <c r="I12" s="43"/>
      <c r="J12" s="43"/>
      <c r="K12" s="95"/>
      <c r="L12" s="106"/>
      <c r="M12" s="107"/>
      <c r="V12" s="44"/>
      <c r="W12" s="43"/>
      <c r="X12" s="43"/>
      <c r="Y12" s="43"/>
      <c r="AL12" s="43"/>
      <c r="AM12" s="43"/>
    </row>
    <row r="13" spans="1:48" ht="30.75">
      <c r="A13" s="41"/>
      <c r="B13" s="43" t="s">
        <v>64</v>
      </c>
      <c r="C13" s="43" t="s">
        <v>64</v>
      </c>
      <c r="D13" s="43" t="s">
        <v>65</v>
      </c>
      <c r="E13" s="43" t="s">
        <v>95</v>
      </c>
      <c r="F13" s="43" t="s">
        <v>96</v>
      </c>
      <c r="H13" s="43"/>
      <c r="I13" s="95" t="s">
        <v>97</v>
      </c>
      <c r="J13" s="106" t="s">
        <v>98</v>
      </c>
      <c r="K13" s="107">
        <v>50</v>
      </c>
      <c r="N13" s="107"/>
      <c r="O13" s="107"/>
      <c r="W13" s="43"/>
      <c r="X13" s="43"/>
      <c r="Y13" s="43"/>
      <c r="AL13" s="43"/>
      <c r="AM13" s="43"/>
    </row>
    <row r="14" spans="1:48" ht="46.15">
      <c r="A14" s="41"/>
      <c r="B14" s="43"/>
      <c r="C14" s="43"/>
      <c r="D14" s="43"/>
      <c r="E14" s="43"/>
      <c r="F14" s="44"/>
      <c r="G14" s="43"/>
      <c r="H14" s="43"/>
      <c r="I14" s="95" t="s">
        <v>99</v>
      </c>
      <c r="J14" s="106" t="s">
        <v>100</v>
      </c>
      <c r="K14" s="107">
        <v>50</v>
      </c>
      <c r="N14" s="107"/>
      <c r="O14" s="107"/>
      <c r="W14" s="43"/>
      <c r="X14" s="43"/>
      <c r="Y14" s="43"/>
      <c r="AL14" s="43"/>
      <c r="AM14" s="43"/>
    </row>
    <row r="15" spans="1:48" ht="46.15">
      <c r="A15" s="41"/>
      <c r="B15" s="43"/>
      <c r="C15" s="43"/>
      <c r="D15" s="43"/>
      <c r="E15" s="43"/>
      <c r="F15" s="44"/>
      <c r="G15" s="43"/>
      <c r="H15" s="43"/>
      <c r="I15" s="95" t="s">
        <v>101</v>
      </c>
      <c r="J15" s="106" t="s">
        <v>100</v>
      </c>
      <c r="K15" s="107">
        <v>100</v>
      </c>
      <c r="N15" s="107"/>
      <c r="O15" s="107"/>
      <c r="W15" s="43"/>
      <c r="X15" s="43"/>
      <c r="Y15" s="43"/>
      <c r="AL15" s="43"/>
      <c r="AM15" s="43"/>
    </row>
    <row r="16" spans="1:48" ht="13.15">
      <c r="A16" s="41"/>
      <c r="B16" s="43"/>
      <c r="C16" s="43"/>
      <c r="D16" s="43"/>
      <c r="E16" s="43"/>
      <c r="F16" s="44"/>
      <c r="G16" s="43"/>
      <c r="H16" s="43"/>
      <c r="I16" s="43"/>
      <c r="J16" s="43"/>
      <c r="K16" s="43"/>
      <c r="W16" s="43"/>
      <c r="X16" s="43"/>
      <c r="Y16" s="43"/>
      <c r="AL16" s="43"/>
      <c r="AM16" s="43"/>
    </row>
    <row r="17" spans="1:39" ht="25.9">
      <c r="A17" s="41"/>
      <c r="B17" s="43" t="s">
        <v>64</v>
      </c>
      <c r="C17" s="43" t="s">
        <v>64</v>
      </c>
      <c r="D17" s="43" t="s">
        <v>65</v>
      </c>
      <c r="E17" s="43" t="s">
        <v>102</v>
      </c>
      <c r="F17" s="43" t="s">
        <v>103</v>
      </c>
      <c r="H17" s="43"/>
      <c r="I17" s="43"/>
      <c r="J17" s="43"/>
      <c r="K17" s="43" t="s">
        <v>79</v>
      </c>
      <c r="W17" s="43"/>
      <c r="X17" s="43"/>
      <c r="Y17" s="43"/>
      <c r="AL17" s="43"/>
      <c r="AM17" s="43"/>
    </row>
    <row r="18" spans="1:39" ht="38.65" hidden="1">
      <c r="A18" s="41"/>
      <c r="B18" s="43" t="s">
        <v>64</v>
      </c>
      <c r="C18" s="43" t="s">
        <v>64</v>
      </c>
      <c r="D18" s="43"/>
      <c r="E18" s="43" t="s">
        <v>104</v>
      </c>
      <c r="F18" s="43"/>
      <c r="H18" s="43"/>
      <c r="I18" s="43"/>
      <c r="J18" s="43"/>
      <c r="K18" s="43"/>
      <c r="W18" s="43"/>
      <c r="X18" s="43"/>
      <c r="Y18" s="43"/>
      <c r="AL18" s="43"/>
      <c r="AM18" s="43"/>
    </row>
    <row r="19" spans="1:39" ht="38.65" hidden="1">
      <c r="A19" s="41"/>
      <c r="B19" s="43" t="s">
        <v>64</v>
      </c>
      <c r="C19" s="43" t="s">
        <v>64</v>
      </c>
      <c r="D19" s="43"/>
      <c r="E19" s="43" t="s">
        <v>105</v>
      </c>
      <c r="F19" s="43"/>
      <c r="H19" s="43"/>
      <c r="I19" s="43"/>
      <c r="J19" s="43"/>
      <c r="K19" s="43"/>
      <c r="W19" s="43"/>
      <c r="X19" s="43"/>
      <c r="Y19" s="43"/>
      <c r="AL19" s="43"/>
      <c r="AM19" s="43"/>
    </row>
    <row r="20" spans="1:39" ht="26.25">
      <c r="A20" s="41"/>
      <c r="B20" s="43" t="s">
        <v>64</v>
      </c>
      <c r="C20" s="43" t="s">
        <v>64</v>
      </c>
      <c r="D20" s="43" t="s">
        <v>65</v>
      </c>
      <c r="E20" s="43" t="s">
        <v>106</v>
      </c>
      <c r="F20" s="43" t="s">
        <v>107</v>
      </c>
      <c r="H20" s="43"/>
      <c r="I20" s="43" t="s">
        <v>108</v>
      </c>
      <c r="J20" s="44" t="s">
        <v>109</v>
      </c>
      <c r="K20" s="107">
        <v>0</v>
      </c>
      <c r="L20" s="44" t="s">
        <v>110</v>
      </c>
      <c r="N20" s="107"/>
      <c r="W20" s="43"/>
      <c r="X20" s="43"/>
      <c r="Y20" s="43"/>
      <c r="AL20" s="43"/>
      <c r="AM20" s="43" t="s">
        <v>89</v>
      </c>
    </row>
    <row r="21" spans="1:39" ht="15.4">
      <c r="A21" s="41"/>
      <c r="B21" s="43"/>
      <c r="C21" s="43"/>
      <c r="D21" s="43"/>
      <c r="E21" s="43"/>
      <c r="F21" s="44"/>
      <c r="G21" s="43"/>
      <c r="H21" s="43"/>
      <c r="I21" s="43" t="s">
        <v>111</v>
      </c>
      <c r="J21" s="44" t="s">
        <v>109</v>
      </c>
      <c r="K21" s="107">
        <v>700</v>
      </c>
      <c r="N21" s="107"/>
      <c r="W21" s="43"/>
      <c r="X21" s="43"/>
      <c r="Y21" s="43"/>
      <c r="AL21" s="43"/>
      <c r="AM21" s="43"/>
    </row>
    <row r="22" spans="1:39" ht="92.25">
      <c r="A22" s="41"/>
      <c r="B22" s="43" t="s">
        <v>64</v>
      </c>
      <c r="C22" s="43" t="s">
        <v>64</v>
      </c>
      <c r="D22" s="44" t="s">
        <v>65</v>
      </c>
      <c r="E22" s="44" t="s">
        <v>112</v>
      </c>
      <c r="F22" s="43" t="s">
        <v>113</v>
      </c>
      <c r="H22" s="43" t="s">
        <v>114</v>
      </c>
      <c r="I22" s="95" t="s">
        <v>115</v>
      </c>
      <c r="J22" s="106" t="s">
        <v>116</v>
      </c>
      <c r="K22" s="107">
        <v>10</v>
      </c>
      <c r="M22" s="107"/>
      <c r="N22" s="107"/>
      <c r="R22" s="44" t="s">
        <v>117</v>
      </c>
      <c r="U22" s="44" t="s">
        <v>118</v>
      </c>
      <c r="W22" s="43"/>
      <c r="X22" s="43"/>
      <c r="Y22" s="43" t="s">
        <v>119</v>
      </c>
      <c r="AL22" s="43"/>
      <c r="AM22" s="43" t="s">
        <v>89</v>
      </c>
    </row>
    <row r="23" spans="1:39" ht="61.5">
      <c r="A23" s="41"/>
      <c r="B23" s="43"/>
      <c r="C23" s="43"/>
      <c r="D23" s="43"/>
      <c r="E23" s="43"/>
      <c r="F23" s="44"/>
      <c r="G23" s="43"/>
      <c r="H23" s="43" t="s">
        <v>120</v>
      </c>
      <c r="I23" s="95" t="s">
        <v>121</v>
      </c>
      <c r="J23" s="106" t="s">
        <v>72</v>
      </c>
      <c r="K23" s="107">
        <v>150</v>
      </c>
      <c r="M23" s="107"/>
      <c r="N23" s="107"/>
      <c r="R23" s="44" t="s">
        <v>122</v>
      </c>
      <c r="U23" s="44" t="s">
        <v>118</v>
      </c>
      <c r="W23" s="43"/>
      <c r="X23" s="43"/>
      <c r="Y23" s="43" t="s">
        <v>123</v>
      </c>
      <c r="AL23" s="43"/>
      <c r="AM23" s="43"/>
    </row>
    <row r="24" spans="1:39" ht="92.25">
      <c r="A24" s="41"/>
      <c r="B24" s="43"/>
      <c r="C24" s="43"/>
      <c r="D24" s="43"/>
      <c r="E24" s="43"/>
      <c r="F24" s="44"/>
      <c r="G24" s="43"/>
      <c r="H24" s="43" t="s">
        <v>120</v>
      </c>
      <c r="I24" s="95" t="s">
        <v>124</v>
      </c>
      <c r="J24" s="106" t="s">
        <v>72</v>
      </c>
      <c r="K24" s="107" t="s">
        <v>125</v>
      </c>
      <c r="M24" s="107"/>
      <c r="N24" s="107"/>
      <c r="R24" s="44" t="s">
        <v>126</v>
      </c>
      <c r="U24" s="44" t="s">
        <v>118</v>
      </c>
      <c r="W24" s="43"/>
      <c r="X24" s="43"/>
      <c r="Y24" s="43" t="s">
        <v>123</v>
      </c>
      <c r="AL24" s="43"/>
      <c r="AM24" s="43"/>
    </row>
    <row r="25" spans="1:39" ht="13.15">
      <c r="A25" s="41"/>
      <c r="B25" s="43" t="s">
        <v>64</v>
      </c>
      <c r="C25" s="43" t="s">
        <v>64</v>
      </c>
      <c r="D25" s="44" t="s">
        <v>65</v>
      </c>
      <c r="E25" s="43"/>
      <c r="F25" s="44" t="s">
        <v>127</v>
      </c>
      <c r="G25" s="43" t="s">
        <v>128</v>
      </c>
      <c r="H25" s="43"/>
      <c r="I25" s="43"/>
      <c r="J25" s="43"/>
      <c r="K25" s="43"/>
      <c r="W25" s="43"/>
      <c r="X25" s="43"/>
      <c r="Y25" s="43"/>
      <c r="AL25" s="43"/>
      <c r="AM25" s="43"/>
    </row>
    <row r="31" spans="1:39" ht="12.75" hidden="1"/>
    <row r="32" spans="1:39" ht="13.15" hidden="1">
      <c r="A32" s="41"/>
      <c r="B32" s="43"/>
      <c r="C32" s="44"/>
      <c r="D32" s="43"/>
      <c r="E32" s="43"/>
      <c r="F32" s="8"/>
      <c r="G32" s="8"/>
      <c r="H32" s="8"/>
      <c r="I32" s="8"/>
      <c r="J32" s="43"/>
      <c r="K32" s="43"/>
      <c r="W32" s="43"/>
      <c r="X32" s="43"/>
      <c r="Y32" s="43"/>
      <c r="AL32" s="8"/>
      <c r="AM32" s="43"/>
    </row>
    <row r="33" spans="1:39" ht="16.5" hidden="1" customHeight="1">
      <c r="A33" s="41"/>
      <c r="B33" s="43"/>
      <c r="C33" s="43"/>
      <c r="D33" s="43"/>
      <c r="E33" s="43"/>
      <c r="F33" s="8" t="s">
        <v>129</v>
      </c>
      <c r="G33" s="90">
        <v>2000</v>
      </c>
      <c r="H33" s="8" t="s">
        <v>130</v>
      </c>
      <c r="I33" s="8" t="s">
        <v>131</v>
      </c>
      <c r="J33" s="43"/>
      <c r="K33" s="43"/>
      <c r="W33" s="43"/>
      <c r="X33" s="43"/>
      <c r="Y33" s="43"/>
      <c r="AL33" s="90">
        <v>3550</v>
      </c>
      <c r="AM33" s="43"/>
    </row>
    <row r="34" spans="1:39" ht="13.15" hidden="1">
      <c r="A34" s="41"/>
      <c r="B34" s="43"/>
      <c r="C34" s="44"/>
      <c r="D34" s="43"/>
      <c r="E34" s="43"/>
      <c r="F34" s="8" t="s">
        <v>132</v>
      </c>
      <c r="G34" s="8"/>
      <c r="H34" s="102">
        <v>3000</v>
      </c>
      <c r="I34" s="8" t="s">
        <v>133</v>
      </c>
      <c r="J34" s="43"/>
      <c r="K34" s="43"/>
      <c r="W34" s="43"/>
      <c r="X34" s="43"/>
      <c r="Y34" s="43"/>
      <c r="AL34" s="8"/>
      <c r="AM34" s="43"/>
    </row>
    <row r="35" spans="1:39" ht="13.15" hidden="1">
      <c r="A35" s="41"/>
      <c r="B35" s="43"/>
      <c r="C35" s="44"/>
      <c r="D35" s="43"/>
      <c r="E35" s="43"/>
      <c r="F35" s="70" t="s">
        <v>134</v>
      </c>
      <c r="G35" s="8"/>
      <c r="H35" s="103">
        <f>4000+3000+3000+200*4+5000</f>
        <v>15800</v>
      </c>
      <c r="I35" s="70" t="s">
        <v>133</v>
      </c>
      <c r="J35" s="43"/>
      <c r="K35" s="43"/>
      <c r="W35" s="43"/>
      <c r="X35" s="43"/>
      <c r="Y35" s="43"/>
      <c r="AL35" s="8"/>
      <c r="AM35" s="43"/>
    </row>
    <row r="36" spans="1:39" ht="13.15" hidden="1">
      <c r="A36" s="41"/>
      <c r="B36" s="43"/>
      <c r="C36" s="44"/>
      <c r="D36" s="43"/>
      <c r="E36" s="43"/>
      <c r="F36" s="8" t="s">
        <v>135</v>
      </c>
      <c r="G36" s="8"/>
      <c r="H36" s="102">
        <f>3*20*15+20*3*10</f>
        <v>1500</v>
      </c>
      <c r="I36" s="8" t="s">
        <v>133</v>
      </c>
      <c r="J36" s="43"/>
      <c r="K36" s="43"/>
      <c r="W36" s="43"/>
      <c r="X36" s="43"/>
      <c r="Y36" s="43"/>
      <c r="AL36" s="8"/>
      <c r="AM36" s="43"/>
    </row>
    <row r="37" spans="1:39" ht="13.15" hidden="1">
      <c r="A37" s="41"/>
      <c r="B37" s="43"/>
      <c r="D37" s="43"/>
      <c r="E37" s="43"/>
      <c r="F37" s="8"/>
      <c r="G37" s="8"/>
      <c r="H37" s="102"/>
      <c r="I37" s="8"/>
      <c r="J37" s="43"/>
      <c r="K37" s="43"/>
      <c r="W37" s="43"/>
      <c r="X37" s="43"/>
      <c r="Y37" s="43"/>
      <c r="AL37" s="8"/>
      <c r="AM37" s="43"/>
    </row>
    <row r="38" spans="1:39" ht="13.15" hidden="1">
      <c r="A38" s="41"/>
      <c r="B38" s="43"/>
      <c r="C38" s="44"/>
      <c r="D38" s="43"/>
      <c r="E38" s="43"/>
      <c r="F38" s="70" t="s">
        <v>136</v>
      </c>
      <c r="G38" s="8"/>
      <c r="H38" s="103">
        <f>G33*10</f>
        <v>20000</v>
      </c>
      <c r="I38" s="70" t="s">
        <v>133</v>
      </c>
      <c r="J38" s="43"/>
      <c r="K38" s="43"/>
      <c r="W38" s="43"/>
      <c r="X38" s="43"/>
      <c r="Y38" s="43"/>
      <c r="AL38" s="8"/>
      <c r="AM38" s="43"/>
    </row>
    <row r="39" spans="1:39" ht="13.15" hidden="1">
      <c r="A39" s="41"/>
      <c r="B39" s="43"/>
      <c r="C39" s="44"/>
      <c r="D39" s="43"/>
      <c r="E39" s="43"/>
      <c r="F39" s="8" t="s">
        <v>137</v>
      </c>
      <c r="G39" s="8"/>
      <c r="H39" s="102">
        <v>400</v>
      </c>
      <c r="I39" s="8" t="s">
        <v>133</v>
      </c>
      <c r="J39" s="43"/>
      <c r="K39" s="43"/>
      <c r="W39" s="43"/>
      <c r="X39" s="43"/>
      <c r="Y39" s="43"/>
      <c r="AL39" s="8"/>
      <c r="AM39" s="43"/>
    </row>
    <row r="40" spans="1:39" ht="13.15" hidden="1">
      <c r="A40" s="41"/>
      <c r="B40" s="43"/>
      <c r="C40" s="44"/>
      <c r="D40" s="43"/>
      <c r="E40" s="43"/>
      <c r="F40" s="8" t="s">
        <v>138</v>
      </c>
      <c r="G40" s="8"/>
      <c r="H40" s="102">
        <v>800</v>
      </c>
      <c r="I40" s="8" t="s">
        <v>133</v>
      </c>
      <c r="J40" s="43"/>
      <c r="K40" s="43"/>
      <c r="W40" s="43"/>
      <c r="X40" s="43"/>
      <c r="Y40" s="43"/>
      <c r="AL40" s="8"/>
      <c r="AM40" s="43"/>
    </row>
    <row r="41" spans="1:39" ht="13.15" hidden="1">
      <c r="A41" s="41"/>
      <c r="B41" s="43"/>
      <c r="C41" s="44"/>
      <c r="D41" s="43"/>
      <c r="E41" s="43"/>
      <c r="F41" s="8"/>
      <c r="G41" s="8"/>
      <c r="H41" s="40"/>
      <c r="I41" s="8"/>
      <c r="J41" s="43"/>
      <c r="K41" s="43"/>
      <c r="W41" s="43"/>
      <c r="X41" s="43"/>
      <c r="Y41" s="43"/>
      <c r="AL41" s="8"/>
      <c r="AM41" s="43"/>
    </row>
    <row r="42" spans="1:39" ht="13.15" hidden="1">
      <c r="A42" s="41"/>
      <c r="B42" s="43"/>
      <c r="C42" s="44"/>
      <c r="D42" s="43"/>
      <c r="E42" s="43"/>
      <c r="F42" s="8" t="s">
        <v>139</v>
      </c>
      <c r="G42" s="8"/>
      <c r="H42" s="102">
        <f>SUM(H34:H40)</f>
        <v>41500</v>
      </c>
      <c r="I42" s="8" t="s">
        <v>133</v>
      </c>
      <c r="J42" s="43"/>
      <c r="K42" s="43"/>
      <c r="W42" s="43"/>
      <c r="X42" s="43"/>
      <c r="Y42" s="43"/>
      <c r="AL42" s="8"/>
      <c r="AM42" s="43"/>
    </row>
    <row r="43" spans="1:39" ht="13.15" hidden="1">
      <c r="A43" s="41"/>
      <c r="B43" s="43"/>
      <c r="C43" s="44"/>
      <c r="D43" s="43"/>
      <c r="E43" s="43"/>
      <c r="F43" s="8" t="s">
        <v>140</v>
      </c>
      <c r="G43" s="8"/>
      <c r="H43" s="90">
        <f>H42/G33</f>
        <v>20.75</v>
      </c>
      <c r="I43" s="8" t="s">
        <v>133</v>
      </c>
      <c r="J43" s="43"/>
      <c r="K43" s="43"/>
      <c r="W43" s="43"/>
      <c r="X43" s="43"/>
      <c r="Y43" s="43"/>
      <c r="AL43" s="8"/>
      <c r="AM43" s="43"/>
    </row>
    <row r="44" spans="1:39" ht="13.15" hidden="1">
      <c r="A44" s="41"/>
      <c r="B44" s="43"/>
      <c r="C44" s="44"/>
      <c r="D44" s="43"/>
      <c r="E44" s="43"/>
      <c r="F44" s="43"/>
      <c r="G44" s="43"/>
      <c r="H44" s="43"/>
      <c r="I44" s="43"/>
      <c r="J44" s="43"/>
      <c r="K44" s="43"/>
      <c r="W44" s="43"/>
      <c r="X44" s="43"/>
      <c r="Y44" s="43"/>
      <c r="AL44" s="43"/>
      <c r="AM44" s="43"/>
    </row>
    <row r="45" spans="1:39" ht="13.15" hidden="1">
      <c r="A45" s="41"/>
      <c r="B45" s="43"/>
      <c r="C45" s="44"/>
      <c r="D45" s="43"/>
      <c r="E45" s="43"/>
      <c r="F45" s="43"/>
      <c r="G45" s="43"/>
      <c r="H45" s="43"/>
      <c r="I45" s="43"/>
      <c r="J45" s="43"/>
      <c r="K45" s="43"/>
      <c r="W45" s="43"/>
      <c r="X45" s="43"/>
      <c r="Y45" s="43"/>
      <c r="AL45" s="43"/>
      <c r="AM45" s="43"/>
    </row>
    <row r="46" spans="1:39" ht="13.15" hidden="1">
      <c r="A46" s="41"/>
      <c r="B46" s="43"/>
      <c r="C46" s="44"/>
      <c r="D46" s="43"/>
      <c r="E46" s="43"/>
      <c r="F46" s="43"/>
      <c r="G46" s="43"/>
      <c r="H46" s="43"/>
      <c r="I46" s="43"/>
      <c r="J46" s="43"/>
      <c r="K46" s="43"/>
      <c r="W46" s="43"/>
      <c r="X46" s="43"/>
      <c r="Y46" s="43"/>
      <c r="AL46" s="43"/>
      <c r="AM46" s="43"/>
    </row>
    <row r="47" spans="1:39" ht="13.15" hidden="1">
      <c r="A47" s="41"/>
      <c r="B47" s="43"/>
      <c r="C47" s="44"/>
      <c r="D47" s="43"/>
      <c r="E47" s="43"/>
      <c r="F47" s="43"/>
      <c r="G47" s="43"/>
      <c r="H47" s="43"/>
      <c r="I47" s="43"/>
      <c r="J47" s="43"/>
      <c r="K47" s="43"/>
      <c r="W47" s="43"/>
      <c r="X47" s="43"/>
      <c r="Y47" s="43"/>
      <c r="AL47" s="43"/>
      <c r="AM47" s="43"/>
    </row>
    <row r="48" spans="1:39" ht="25.9" hidden="1">
      <c r="A48" s="41" t="s">
        <v>141</v>
      </c>
      <c r="B48" s="43" t="s">
        <v>142</v>
      </c>
      <c r="C48" s="44" t="s">
        <v>143</v>
      </c>
      <c r="D48" s="43"/>
      <c r="E48" s="43" t="s">
        <v>144</v>
      </c>
      <c r="F48" s="104"/>
      <c r="G48" s="43" t="s">
        <v>145</v>
      </c>
      <c r="H48" s="43" t="s">
        <v>146</v>
      </c>
      <c r="I48" s="43" t="s">
        <v>147</v>
      </c>
      <c r="J48" s="43"/>
      <c r="K48" s="43"/>
      <c r="W48" s="43"/>
      <c r="X48" s="43"/>
      <c r="Y48" s="43"/>
      <c r="AL48" s="43"/>
      <c r="AM48" s="43" t="s">
        <v>148</v>
      </c>
    </row>
    <row r="49" spans="1:43" ht="25.9" hidden="1">
      <c r="A49" s="41"/>
      <c r="B49" s="43" t="s">
        <v>142</v>
      </c>
      <c r="C49" s="44" t="s">
        <v>143</v>
      </c>
      <c r="D49" s="43"/>
      <c r="E49" s="43" t="s">
        <v>144</v>
      </c>
      <c r="F49" s="43" t="s">
        <v>149</v>
      </c>
      <c r="G49" s="43" t="s">
        <v>150</v>
      </c>
      <c r="H49" s="43" t="s">
        <v>151</v>
      </c>
      <c r="I49" s="43" t="s">
        <v>147</v>
      </c>
      <c r="J49" s="43"/>
      <c r="K49" s="43"/>
      <c r="R49" s="77"/>
      <c r="S49" s="72"/>
      <c r="T49" s="75"/>
      <c r="U49" s="75"/>
      <c r="V49" s="75"/>
      <c r="W49" s="43"/>
      <c r="X49" s="43"/>
      <c r="Y49" s="43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111"/>
      <c r="AK49" s="75"/>
      <c r="AL49" s="43"/>
      <c r="AM49" s="43" t="s">
        <v>148</v>
      </c>
      <c r="AN49" s="75"/>
      <c r="AO49" s="75"/>
      <c r="AP49" s="75"/>
      <c r="AQ49" s="77"/>
    </row>
    <row r="50" spans="1:43" ht="25.9" hidden="1">
      <c r="A50" s="41"/>
      <c r="B50" s="43" t="s">
        <v>142</v>
      </c>
      <c r="C50" s="44" t="s">
        <v>143</v>
      </c>
      <c r="D50" s="43"/>
      <c r="E50" s="43" t="s">
        <v>144</v>
      </c>
      <c r="F50" s="104"/>
      <c r="G50" s="43" t="s">
        <v>152</v>
      </c>
      <c r="H50" s="43" t="s">
        <v>153</v>
      </c>
      <c r="I50" s="43" t="s">
        <v>147</v>
      </c>
      <c r="J50" s="43"/>
      <c r="K50" s="43"/>
      <c r="W50" s="43"/>
      <c r="X50" s="43"/>
      <c r="Y50" s="43"/>
      <c r="AL50" s="43"/>
      <c r="AM50" s="43" t="s">
        <v>148</v>
      </c>
    </row>
    <row r="51" spans="1:43" ht="38.65" hidden="1">
      <c r="A51" s="41"/>
      <c r="B51" s="43" t="s">
        <v>142</v>
      </c>
      <c r="C51" s="44" t="s">
        <v>143</v>
      </c>
      <c r="D51" s="43"/>
      <c r="E51" s="43" t="s">
        <v>144</v>
      </c>
      <c r="F51" s="104"/>
      <c r="G51" s="43" t="s">
        <v>154</v>
      </c>
      <c r="H51" s="43" t="s">
        <v>155</v>
      </c>
      <c r="I51" s="43" t="s">
        <v>147</v>
      </c>
      <c r="J51" s="43"/>
      <c r="K51" s="43"/>
      <c r="W51" s="43"/>
      <c r="X51" s="43"/>
      <c r="Y51" s="43"/>
      <c r="AL51" s="43"/>
      <c r="AM51" s="43" t="s">
        <v>148</v>
      </c>
    </row>
    <row r="52" spans="1:43" ht="38.65" hidden="1">
      <c r="A52" s="41"/>
      <c r="B52" s="43" t="s">
        <v>142</v>
      </c>
      <c r="C52" s="44" t="s">
        <v>156</v>
      </c>
      <c r="D52" s="43"/>
      <c r="E52" s="43" t="s">
        <v>157</v>
      </c>
      <c r="F52" s="43" t="s">
        <v>158</v>
      </c>
      <c r="G52" s="43" t="s">
        <v>159</v>
      </c>
      <c r="H52" s="43" t="s">
        <v>160</v>
      </c>
      <c r="I52" s="43" t="s">
        <v>147</v>
      </c>
      <c r="J52" s="43"/>
      <c r="K52" s="43"/>
      <c r="W52" s="43"/>
      <c r="X52" s="43"/>
      <c r="Y52" s="43"/>
      <c r="AL52" s="43"/>
      <c r="AM52" s="43" t="s">
        <v>148</v>
      </c>
    </row>
    <row r="53" spans="1:43" ht="13.15" hidden="1">
      <c r="A53" s="41"/>
      <c r="B53" s="43"/>
      <c r="C53" s="44"/>
      <c r="D53" s="43"/>
      <c r="E53" s="43"/>
      <c r="F53" s="43"/>
      <c r="G53" s="43"/>
      <c r="H53" s="43"/>
      <c r="I53" s="43"/>
      <c r="J53" s="43"/>
      <c r="K53" s="43"/>
      <c r="W53" s="43"/>
      <c r="X53" s="43"/>
      <c r="Y53" s="43"/>
      <c r="AL53" s="43"/>
      <c r="AM53" s="43"/>
    </row>
    <row r="54" spans="1:43" ht="51.4" hidden="1">
      <c r="A54" s="41"/>
      <c r="B54" s="43" t="s">
        <v>142</v>
      </c>
      <c r="C54" s="44" t="s">
        <v>156</v>
      </c>
      <c r="D54" s="43"/>
      <c r="E54" s="43" t="s">
        <v>157</v>
      </c>
      <c r="F54" s="43" t="s">
        <v>158</v>
      </c>
      <c r="G54" s="43" t="s">
        <v>161</v>
      </c>
      <c r="H54" s="43" t="s">
        <v>162</v>
      </c>
      <c r="I54" s="43" t="s">
        <v>147</v>
      </c>
      <c r="J54" s="43"/>
      <c r="K54" s="43"/>
      <c r="W54" s="43"/>
      <c r="X54" s="43"/>
      <c r="Y54" s="43"/>
      <c r="AL54" s="43"/>
      <c r="AM54" s="43" t="s">
        <v>148</v>
      </c>
    </row>
    <row r="55" spans="1:43" ht="25.9" hidden="1">
      <c r="A55" s="41"/>
      <c r="B55" s="43" t="s">
        <v>142</v>
      </c>
      <c r="C55" s="44" t="s">
        <v>143</v>
      </c>
      <c r="D55" s="43"/>
      <c r="E55" s="43" t="s">
        <v>144</v>
      </c>
      <c r="F55" s="43"/>
      <c r="G55" s="43" t="s">
        <v>163</v>
      </c>
      <c r="H55" s="43" t="s">
        <v>164</v>
      </c>
      <c r="I55" s="43" t="s">
        <v>147</v>
      </c>
      <c r="J55" s="43"/>
      <c r="K55" s="43"/>
      <c r="W55" s="43"/>
      <c r="X55" s="43"/>
      <c r="Y55" s="43"/>
      <c r="AL55" s="43"/>
      <c r="AM55" s="43" t="s">
        <v>148</v>
      </c>
    </row>
    <row r="56" spans="1:43" ht="51.4" hidden="1">
      <c r="A56" s="41"/>
      <c r="B56" s="43" t="s">
        <v>142</v>
      </c>
      <c r="C56" s="43" t="s">
        <v>142</v>
      </c>
      <c r="D56" s="43"/>
      <c r="E56" s="43" t="s">
        <v>157</v>
      </c>
      <c r="F56" s="43" t="s">
        <v>158</v>
      </c>
      <c r="G56" s="43" t="s">
        <v>165</v>
      </c>
      <c r="H56" s="43" t="s">
        <v>166</v>
      </c>
      <c r="I56" s="43" t="s">
        <v>147</v>
      </c>
      <c r="J56" s="43"/>
      <c r="K56" s="43"/>
      <c r="W56" s="43"/>
      <c r="X56" s="43"/>
      <c r="Y56" s="43"/>
      <c r="AL56" s="43"/>
      <c r="AM56" s="43" t="s">
        <v>148</v>
      </c>
    </row>
    <row r="57" spans="1:43" ht="13.15" hidden="1">
      <c r="A57" s="41"/>
      <c r="B57" s="43"/>
      <c r="C57" s="43"/>
      <c r="D57" s="43"/>
      <c r="E57" s="43"/>
      <c r="F57" s="43"/>
      <c r="G57" s="43"/>
      <c r="H57" s="43"/>
      <c r="I57" s="43"/>
      <c r="J57" s="43"/>
      <c r="K57" s="43"/>
      <c r="W57" s="43"/>
      <c r="X57" s="43"/>
      <c r="Y57" s="43"/>
      <c r="AL57" s="43"/>
      <c r="AM57" s="43"/>
    </row>
    <row r="58" spans="1:43" ht="51.4" hidden="1">
      <c r="A58" s="41"/>
      <c r="B58" s="43" t="s">
        <v>142</v>
      </c>
      <c r="C58" s="43" t="s">
        <v>142</v>
      </c>
      <c r="D58" s="43"/>
      <c r="E58" s="43" t="s">
        <v>157</v>
      </c>
      <c r="F58" s="43" t="s">
        <v>167</v>
      </c>
      <c r="G58" s="43" t="s">
        <v>168</v>
      </c>
      <c r="H58" s="43" t="s">
        <v>169</v>
      </c>
      <c r="I58" s="43" t="s">
        <v>147</v>
      </c>
      <c r="J58" s="43"/>
      <c r="K58" s="43"/>
      <c r="W58" s="43"/>
      <c r="X58" s="43"/>
      <c r="Y58" s="43"/>
      <c r="AL58" s="43"/>
      <c r="AM58" s="43" t="s">
        <v>148</v>
      </c>
    </row>
    <row r="59" spans="1:43" ht="115.15" hidden="1">
      <c r="A59" s="41"/>
      <c r="B59" s="43" t="s">
        <v>142</v>
      </c>
      <c r="C59" s="44" t="s">
        <v>143</v>
      </c>
      <c r="D59" s="43"/>
      <c r="E59" s="43" t="s">
        <v>144</v>
      </c>
      <c r="F59" s="104" t="s">
        <v>170</v>
      </c>
      <c r="G59" s="43" t="s">
        <v>171</v>
      </c>
      <c r="H59" s="43" t="s">
        <v>172</v>
      </c>
      <c r="I59" s="43" t="s">
        <v>147</v>
      </c>
      <c r="J59" s="43"/>
      <c r="K59" s="43"/>
      <c r="W59" s="43"/>
      <c r="X59" s="43"/>
      <c r="Y59" s="43"/>
      <c r="AL59" s="43"/>
      <c r="AM59" s="43" t="s">
        <v>148</v>
      </c>
    </row>
    <row r="60" spans="1:43" ht="25.9" hidden="1">
      <c r="A60" s="41"/>
      <c r="B60" s="43" t="s">
        <v>142</v>
      </c>
      <c r="C60" s="44" t="s">
        <v>64</v>
      </c>
      <c r="D60" s="43"/>
      <c r="E60" s="43" t="s">
        <v>173</v>
      </c>
      <c r="F60" s="43"/>
      <c r="G60" s="43" t="s">
        <v>174</v>
      </c>
      <c r="H60" s="43" t="s">
        <v>175</v>
      </c>
      <c r="I60" s="43" t="s">
        <v>147</v>
      </c>
      <c r="J60" s="43"/>
      <c r="K60" s="43"/>
      <c r="W60" s="43"/>
      <c r="X60" s="43"/>
      <c r="Y60" s="43"/>
      <c r="AL60" s="43"/>
      <c r="AM60" s="43" t="s">
        <v>176</v>
      </c>
    </row>
    <row r="61" spans="1:43" ht="38.65" hidden="1">
      <c r="A61" s="41"/>
      <c r="B61" s="43" t="s">
        <v>142</v>
      </c>
      <c r="C61" s="44" t="s">
        <v>64</v>
      </c>
      <c r="D61" s="43"/>
      <c r="E61" s="43" t="s">
        <v>177</v>
      </c>
      <c r="F61" s="104"/>
      <c r="G61" s="43" t="s">
        <v>178</v>
      </c>
      <c r="H61" s="43" t="s">
        <v>179</v>
      </c>
      <c r="I61" s="43" t="s">
        <v>147</v>
      </c>
      <c r="J61" s="43"/>
      <c r="K61" s="43"/>
      <c r="W61" s="43"/>
      <c r="X61" s="43"/>
      <c r="Y61" s="43"/>
      <c r="AL61" s="43"/>
      <c r="AM61" s="43" t="s">
        <v>148</v>
      </c>
    </row>
    <row r="62" spans="1:43" ht="64.150000000000006" hidden="1">
      <c r="A62" s="41"/>
      <c r="B62" s="43" t="s">
        <v>142</v>
      </c>
      <c r="C62" s="44" t="s">
        <v>156</v>
      </c>
      <c r="D62" s="43"/>
      <c r="E62" s="43" t="s">
        <v>180</v>
      </c>
      <c r="F62" s="43"/>
      <c r="G62" s="43" t="s">
        <v>181</v>
      </c>
      <c r="H62" s="43" t="s">
        <v>182</v>
      </c>
      <c r="I62" s="43" t="s">
        <v>147</v>
      </c>
      <c r="J62" s="43"/>
      <c r="K62" s="43"/>
      <c r="W62" s="43"/>
      <c r="X62" s="43"/>
      <c r="Y62" s="43"/>
      <c r="AL62" s="43"/>
      <c r="AM62" s="43" t="s">
        <v>148</v>
      </c>
    </row>
    <row r="63" spans="1:43" ht="51.4" hidden="1">
      <c r="A63" s="41"/>
      <c r="B63" s="43" t="s">
        <v>142</v>
      </c>
      <c r="C63" s="44" t="s">
        <v>143</v>
      </c>
      <c r="D63" s="43"/>
      <c r="E63" s="43" t="s">
        <v>144</v>
      </c>
      <c r="F63" s="43"/>
      <c r="G63" s="43" t="s">
        <v>183</v>
      </c>
      <c r="H63" s="43" t="s">
        <v>184</v>
      </c>
      <c r="I63" s="43" t="s">
        <v>147</v>
      </c>
      <c r="J63" s="43"/>
      <c r="K63" s="43"/>
      <c r="W63" s="43"/>
      <c r="X63" s="43"/>
      <c r="Y63" s="43"/>
      <c r="AL63" s="43"/>
      <c r="AM63" s="43" t="s">
        <v>148</v>
      </c>
    </row>
    <row r="64" spans="1:43" ht="25.9" hidden="1">
      <c r="A64" s="41"/>
      <c r="B64" s="43" t="s">
        <v>142</v>
      </c>
      <c r="C64" s="43" t="s">
        <v>142</v>
      </c>
      <c r="D64" s="43"/>
      <c r="E64" s="43" t="s">
        <v>157</v>
      </c>
      <c r="F64" s="43" t="s">
        <v>158</v>
      </c>
      <c r="G64" s="43" t="s">
        <v>185</v>
      </c>
      <c r="H64" s="43" t="s">
        <v>186</v>
      </c>
      <c r="I64" s="43" t="s">
        <v>147</v>
      </c>
      <c r="J64" s="43"/>
      <c r="K64" s="43"/>
      <c r="W64" s="43"/>
      <c r="X64" s="43"/>
      <c r="Y64" s="43"/>
      <c r="AL64" s="43"/>
      <c r="AM64" s="43" t="s">
        <v>148</v>
      </c>
    </row>
    <row r="65" spans="1:39" ht="25.9" hidden="1">
      <c r="A65" s="41"/>
      <c r="B65" s="43" t="s">
        <v>142</v>
      </c>
      <c r="C65" s="44" t="s">
        <v>143</v>
      </c>
      <c r="D65" s="43"/>
      <c r="E65" s="43" t="s">
        <v>144</v>
      </c>
      <c r="F65" s="43"/>
      <c r="G65" s="43" t="s">
        <v>187</v>
      </c>
      <c r="H65" s="43" t="s">
        <v>188</v>
      </c>
      <c r="I65" s="43" t="s">
        <v>147</v>
      </c>
      <c r="J65" s="43"/>
      <c r="K65" s="43"/>
      <c r="W65" s="43"/>
      <c r="X65" s="43"/>
      <c r="Y65" s="43"/>
      <c r="AL65" s="43"/>
      <c r="AM65" s="43" t="s">
        <v>148</v>
      </c>
    </row>
    <row r="66" spans="1:39" ht="64.150000000000006" hidden="1">
      <c r="A66" s="41"/>
      <c r="B66" s="43" t="s">
        <v>142</v>
      </c>
      <c r="C66" s="44" t="s">
        <v>156</v>
      </c>
      <c r="D66" s="43"/>
      <c r="E66" s="43" t="s">
        <v>180</v>
      </c>
      <c r="F66" s="43"/>
      <c r="G66" s="43" t="s">
        <v>189</v>
      </c>
      <c r="H66" s="43" t="s">
        <v>190</v>
      </c>
      <c r="I66" s="43" t="s">
        <v>147</v>
      </c>
      <c r="J66" s="43"/>
      <c r="K66" s="43"/>
      <c r="W66" s="43"/>
      <c r="X66" s="43"/>
      <c r="Y66" s="43"/>
      <c r="AL66" s="43"/>
      <c r="AM66" s="43" t="s">
        <v>148</v>
      </c>
    </row>
    <row r="67" spans="1:39" ht="38.65" hidden="1">
      <c r="A67" s="41" t="s">
        <v>191</v>
      </c>
      <c r="B67" s="43" t="s">
        <v>142</v>
      </c>
      <c r="C67" s="43" t="s">
        <v>142</v>
      </c>
      <c r="D67" s="43"/>
      <c r="E67" s="43"/>
      <c r="F67" s="43" t="s">
        <v>192</v>
      </c>
      <c r="G67" s="43" t="s">
        <v>193</v>
      </c>
      <c r="H67" s="43" t="s">
        <v>194</v>
      </c>
      <c r="I67" s="43" t="s">
        <v>195</v>
      </c>
      <c r="J67" s="43"/>
      <c r="K67" s="43"/>
      <c r="W67" s="43"/>
      <c r="X67" s="43"/>
      <c r="Y67" s="43"/>
      <c r="AL67" s="43"/>
      <c r="AM67" s="43" t="s">
        <v>196</v>
      </c>
    </row>
    <row r="68" spans="1:39" ht="25.9" hidden="1">
      <c r="A68" s="41"/>
      <c r="B68" s="43" t="s">
        <v>142</v>
      </c>
      <c r="C68" s="43" t="s">
        <v>142</v>
      </c>
      <c r="D68" s="43"/>
      <c r="E68" s="43"/>
      <c r="F68" s="43" t="s">
        <v>192</v>
      </c>
      <c r="G68" s="43" t="s">
        <v>197</v>
      </c>
      <c r="H68" s="43" t="s">
        <v>198</v>
      </c>
      <c r="I68" s="43" t="s">
        <v>195</v>
      </c>
      <c r="J68" s="43"/>
      <c r="K68" s="43"/>
      <c r="W68" s="43"/>
      <c r="X68" s="43"/>
      <c r="Y68" s="43"/>
      <c r="AL68" s="43"/>
      <c r="AM68" s="43" t="s">
        <v>196</v>
      </c>
    </row>
    <row r="69" spans="1:39" ht="51.4" hidden="1">
      <c r="A69" s="41"/>
      <c r="B69" s="43" t="s">
        <v>142</v>
      </c>
      <c r="C69" s="43" t="s">
        <v>143</v>
      </c>
      <c r="D69" s="43"/>
      <c r="E69" s="43"/>
      <c r="F69" s="43"/>
      <c r="G69" s="43" t="s">
        <v>199</v>
      </c>
      <c r="H69" s="43" t="s">
        <v>200</v>
      </c>
      <c r="I69" s="43" t="s">
        <v>195</v>
      </c>
      <c r="J69" s="43"/>
      <c r="K69" s="43"/>
      <c r="W69" s="43"/>
      <c r="X69" s="43"/>
      <c r="Y69" s="43"/>
      <c r="AL69" s="43"/>
      <c r="AM69" s="43" t="s">
        <v>196</v>
      </c>
    </row>
    <row r="70" spans="1:39" ht="51.4" hidden="1">
      <c r="A70" s="41"/>
      <c r="B70" s="43" t="s">
        <v>142</v>
      </c>
      <c r="C70" s="43" t="s">
        <v>201</v>
      </c>
      <c r="D70" s="43"/>
      <c r="E70" s="43"/>
      <c r="F70" s="43"/>
      <c r="G70" s="43" t="s">
        <v>202</v>
      </c>
      <c r="H70" s="43" t="s">
        <v>203</v>
      </c>
      <c r="I70" s="43" t="s">
        <v>195</v>
      </c>
      <c r="J70" s="43"/>
      <c r="K70" s="43"/>
      <c r="W70" s="43"/>
      <c r="X70" s="43"/>
      <c r="Y70" s="43"/>
      <c r="AL70" s="43"/>
      <c r="AM70" s="43" t="s">
        <v>196</v>
      </c>
    </row>
    <row r="71" spans="1:39" ht="38.65" hidden="1">
      <c r="A71" s="41"/>
      <c r="B71" s="43" t="s">
        <v>142</v>
      </c>
      <c r="C71" s="43" t="s">
        <v>201</v>
      </c>
      <c r="D71" s="43"/>
      <c r="E71" s="43"/>
      <c r="F71" s="43"/>
      <c r="G71" s="43" t="s">
        <v>204</v>
      </c>
      <c r="H71" s="43" t="s">
        <v>205</v>
      </c>
      <c r="I71" s="43" t="s">
        <v>195</v>
      </c>
      <c r="J71" s="43"/>
      <c r="K71" s="43"/>
      <c r="W71" s="43"/>
      <c r="X71" s="43"/>
      <c r="Y71" s="43"/>
      <c r="AL71" s="43"/>
      <c r="AM71" s="43" t="s">
        <v>196</v>
      </c>
    </row>
    <row r="72" spans="1:39" ht="25.9" hidden="1">
      <c r="A72" s="41"/>
      <c r="B72" s="43" t="s">
        <v>142</v>
      </c>
      <c r="C72" s="43" t="s">
        <v>201</v>
      </c>
      <c r="D72" s="43"/>
      <c r="E72" s="43"/>
      <c r="F72" s="43"/>
      <c r="G72" s="43" t="s">
        <v>206</v>
      </c>
      <c r="H72" s="43" t="s">
        <v>207</v>
      </c>
      <c r="I72" s="43" t="s">
        <v>195</v>
      </c>
      <c r="J72" s="43"/>
      <c r="K72" s="43"/>
      <c r="W72" s="43"/>
      <c r="X72" s="43"/>
      <c r="Y72" s="43"/>
      <c r="AL72" s="43"/>
      <c r="AM72" s="43" t="s">
        <v>196</v>
      </c>
    </row>
    <row r="73" spans="1:39" ht="25.9" hidden="1">
      <c r="A73" s="41"/>
      <c r="B73" s="43" t="s">
        <v>142</v>
      </c>
      <c r="C73" s="43" t="s">
        <v>201</v>
      </c>
      <c r="D73" s="43"/>
      <c r="E73" s="43"/>
      <c r="F73" s="43"/>
      <c r="G73" s="43" t="s">
        <v>208</v>
      </c>
      <c r="H73" s="43" t="s">
        <v>209</v>
      </c>
      <c r="I73" s="43" t="s">
        <v>195</v>
      </c>
      <c r="J73" s="43"/>
      <c r="K73" s="43"/>
      <c r="W73" s="43"/>
      <c r="X73" s="43"/>
      <c r="Y73" s="43"/>
      <c r="AL73" s="43"/>
      <c r="AM73" s="43" t="s">
        <v>196</v>
      </c>
    </row>
    <row r="74" spans="1:39" ht="25.9" hidden="1">
      <c r="A74" s="41"/>
      <c r="B74" s="43" t="s">
        <v>142</v>
      </c>
      <c r="C74" s="43" t="s">
        <v>201</v>
      </c>
      <c r="D74" s="43"/>
      <c r="E74" s="43"/>
      <c r="F74" s="43"/>
      <c r="G74" s="43" t="s">
        <v>210</v>
      </c>
      <c r="H74" s="43"/>
      <c r="I74" s="43" t="s">
        <v>195</v>
      </c>
      <c r="J74" s="43"/>
      <c r="K74" s="43"/>
      <c r="W74" s="43"/>
      <c r="X74" s="43"/>
      <c r="Y74" s="43"/>
      <c r="AL74" s="43"/>
      <c r="AM74" s="43" t="s">
        <v>196</v>
      </c>
    </row>
    <row r="75" spans="1:39" ht="25.9" hidden="1">
      <c r="A75" s="41"/>
      <c r="B75" s="43" t="s">
        <v>142</v>
      </c>
      <c r="C75" s="43" t="s">
        <v>201</v>
      </c>
      <c r="D75" s="43"/>
      <c r="E75" s="43"/>
      <c r="F75" s="43"/>
      <c r="G75" s="43" t="s">
        <v>211</v>
      </c>
      <c r="H75" s="43"/>
      <c r="I75" s="43" t="s">
        <v>195</v>
      </c>
      <c r="J75" s="43"/>
      <c r="K75" s="43"/>
      <c r="W75" s="43"/>
      <c r="X75" s="43"/>
      <c r="Y75" s="43"/>
      <c r="AL75" s="43"/>
      <c r="AM75" s="43" t="s">
        <v>196</v>
      </c>
    </row>
    <row r="76" spans="1:39" ht="115.15" hidden="1">
      <c r="A76" s="41"/>
      <c r="B76" s="43" t="s">
        <v>142</v>
      </c>
      <c r="C76" s="43" t="s">
        <v>212</v>
      </c>
      <c r="D76" s="43"/>
      <c r="E76" s="43"/>
      <c r="F76" s="43"/>
      <c r="G76" s="43" t="s">
        <v>213</v>
      </c>
      <c r="H76" s="43" t="s">
        <v>214</v>
      </c>
      <c r="I76" s="43" t="s">
        <v>195</v>
      </c>
      <c r="J76" s="43"/>
      <c r="K76" s="43"/>
      <c r="W76" s="43"/>
      <c r="X76" s="43"/>
      <c r="Y76" s="43"/>
      <c r="AL76" s="43"/>
      <c r="AM76" s="43" t="s">
        <v>196</v>
      </c>
    </row>
    <row r="77" spans="1:39" ht="13.15" hidden="1">
      <c r="A77" s="41"/>
      <c r="B77" s="43"/>
      <c r="C77" s="43"/>
      <c r="D77" s="43"/>
      <c r="E77" s="43"/>
      <c r="F77" s="43"/>
      <c r="G77" s="43"/>
      <c r="H77" s="43"/>
      <c r="I77" s="43"/>
      <c r="J77" s="43"/>
      <c r="K77" s="43"/>
      <c r="W77" s="43"/>
      <c r="X77" s="43"/>
      <c r="Y77" s="43"/>
      <c r="AL77" s="43"/>
      <c r="AM77" s="43"/>
    </row>
    <row r="78" spans="1:39" ht="25.9" hidden="1">
      <c r="A78" s="41"/>
      <c r="B78" s="43" t="s">
        <v>142</v>
      </c>
      <c r="C78" s="43" t="s">
        <v>215</v>
      </c>
      <c r="D78" s="43"/>
      <c r="E78" s="43"/>
      <c r="F78" s="43"/>
      <c r="G78" s="43" t="s">
        <v>216</v>
      </c>
      <c r="H78" s="43"/>
      <c r="I78" s="43" t="s">
        <v>195</v>
      </c>
      <c r="J78" s="43"/>
      <c r="K78" s="43"/>
      <c r="W78" s="43"/>
      <c r="X78" s="43"/>
      <c r="Y78" s="43"/>
      <c r="AL78" s="43"/>
      <c r="AM78" s="43" t="s">
        <v>196</v>
      </c>
    </row>
    <row r="79" spans="1:39" ht="25.9" hidden="1">
      <c r="A79" s="41"/>
      <c r="B79" s="43" t="s">
        <v>142</v>
      </c>
      <c r="C79" s="43" t="s">
        <v>215</v>
      </c>
      <c r="D79" s="43"/>
      <c r="E79" s="43"/>
      <c r="F79" s="43"/>
      <c r="G79" s="43" t="s">
        <v>217</v>
      </c>
      <c r="H79" s="43"/>
      <c r="I79" s="43" t="s">
        <v>195</v>
      </c>
      <c r="J79" s="43"/>
      <c r="K79" s="43"/>
      <c r="W79" s="43"/>
      <c r="X79" s="43"/>
      <c r="Y79" s="43"/>
      <c r="AL79" s="43"/>
      <c r="AM79" s="43" t="s">
        <v>196</v>
      </c>
    </row>
    <row r="80" spans="1:39" ht="25.9" hidden="1">
      <c r="A80" s="41"/>
      <c r="B80" s="43" t="s">
        <v>142</v>
      </c>
      <c r="C80" s="43" t="s">
        <v>215</v>
      </c>
      <c r="D80" s="43"/>
      <c r="E80" s="43"/>
      <c r="F80" s="43"/>
      <c r="G80" s="43" t="s">
        <v>218</v>
      </c>
      <c r="H80" s="43"/>
      <c r="I80" s="43" t="s">
        <v>195</v>
      </c>
      <c r="J80" s="43"/>
      <c r="K80" s="43"/>
      <c r="W80" s="43"/>
      <c r="X80" s="43"/>
      <c r="Y80" s="43"/>
      <c r="AL80" s="43"/>
      <c r="AM80" s="43" t="s">
        <v>196</v>
      </c>
    </row>
    <row r="81" spans="1:39" ht="25.9" hidden="1">
      <c r="A81" s="41"/>
      <c r="B81" s="43" t="s">
        <v>142</v>
      </c>
      <c r="C81" s="43" t="s">
        <v>142</v>
      </c>
      <c r="D81" s="43"/>
      <c r="E81" s="43"/>
      <c r="F81" s="43" t="s">
        <v>167</v>
      </c>
      <c r="G81" s="43" t="s">
        <v>219</v>
      </c>
      <c r="H81" s="43"/>
      <c r="I81" s="43" t="s">
        <v>195</v>
      </c>
      <c r="J81" s="43"/>
      <c r="K81" s="43"/>
      <c r="W81" s="43"/>
      <c r="X81" s="43"/>
      <c r="Y81" s="43"/>
      <c r="AL81" s="43"/>
      <c r="AM81" s="43" t="s">
        <v>196</v>
      </c>
    </row>
    <row r="82" spans="1:39" ht="25.9" hidden="1">
      <c r="A82" s="41"/>
      <c r="B82" s="43" t="s">
        <v>142</v>
      </c>
      <c r="C82" s="43"/>
      <c r="D82" s="43"/>
      <c r="E82" s="43"/>
      <c r="F82" s="43"/>
      <c r="G82" s="43" t="s">
        <v>220</v>
      </c>
      <c r="H82" s="43"/>
      <c r="I82" s="43" t="s">
        <v>195</v>
      </c>
      <c r="J82" s="43"/>
      <c r="K82" s="43"/>
      <c r="W82" s="43"/>
      <c r="X82" s="43"/>
      <c r="Y82" s="43"/>
      <c r="AL82" s="43"/>
      <c r="AM82" s="43" t="s">
        <v>196</v>
      </c>
    </row>
    <row r="83" spans="1:39" ht="25.9" hidden="1">
      <c r="A83" s="41"/>
      <c r="B83" s="43" t="s">
        <v>142</v>
      </c>
      <c r="C83" s="43" t="s">
        <v>201</v>
      </c>
      <c r="D83" s="43"/>
      <c r="E83" s="43"/>
      <c r="F83" s="43" t="s">
        <v>221</v>
      </c>
      <c r="G83" s="43" t="s">
        <v>222</v>
      </c>
      <c r="H83" s="43"/>
      <c r="I83" s="43" t="s">
        <v>195</v>
      </c>
      <c r="J83" s="43"/>
      <c r="K83" s="43"/>
      <c r="O83" s="54"/>
      <c r="W83" s="43"/>
      <c r="X83" s="43"/>
      <c r="Y83" s="43"/>
      <c r="AL83" s="43"/>
      <c r="AM83" s="43" t="s">
        <v>196</v>
      </c>
    </row>
    <row r="84" spans="1:39" ht="25.9" hidden="1">
      <c r="A84" s="41"/>
      <c r="B84" s="43" t="s">
        <v>142</v>
      </c>
      <c r="C84" s="43" t="s">
        <v>201</v>
      </c>
      <c r="D84" s="43"/>
      <c r="E84" s="43"/>
      <c r="F84" s="43"/>
      <c r="G84" s="43" t="s">
        <v>223</v>
      </c>
      <c r="H84" s="43"/>
      <c r="I84" s="43" t="s">
        <v>195</v>
      </c>
      <c r="J84" s="43"/>
      <c r="K84" s="43"/>
      <c r="W84" s="43"/>
      <c r="X84" s="43"/>
      <c r="Y84" s="43"/>
      <c r="AL84" s="43"/>
      <c r="AM84" s="43" t="s">
        <v>196</v>
      </c>
    </row>
    <row r="85" spans="1:39" ht="25.9" hidden="1">
      <c r="A85" s="41"/>
      <c r="B85" s="43" t="s">
        <v>142</v>
      </c>
      <c r="C85" s="43" t="s">
        <v>212</v>
      </c>
      <c r="D85" s="43"/>
      <c r="E85" s="43"/>
      <c r="F85" s="43"/>
      <c r="G85" s="43" t="s">
        <v>224</v>
      </c>
      <c r="H85" s="43"/>
      <c r="I85" s="43" t="s">
        <v>195</v>
      </c>
      <c r="J85" s="43"/>
      <c r="K85" s="43"/>
      <c r="W85" s="43"/>
      <c r="X85" s="43"/>
      <c r="Y85" s="43"/>
      <c r="AL85" s="43"/>
      <c r="AM85" s="43" t="s">
        <v>196</v>
      </c>
    </row>
    <row r="86" spans="1:39" ht="25.9" hidden="1">
      <c r="A86" s="41" t="s">
        <v>225</v>
      </c>
      <c r="B86" s="43" t="s">
        <v>226</v>
      </c>
      <c r="C86" s="43" t="s">
        <v>212</v>
      </c>
      <c r="D86" s="43"/>
      <c r="E86" s="43"/>
      <c r="F86" s="43"/>
      <c r="G86" s="43" t="s">
        <v>227</v>
      </c>
      <c r="H86" s="43"/>
      <c r="I86" s="43" t="s">
        <v>195</v>
      </c>
      <c r="J86" s="43"/>
      <c r="K86" s="43"/>
      <c r="W86" s="43"/>
      <c r="X86" s="43"/>
      <c r="Y86" s="43"/>
      <c r="AL86" s="43"/>
      <c r="AM86" s="43" t="s">
        <v>228</v>
      </c>
    </row>
    <row r="87" spans="1:39" ht="25.9" hidden="1">
      <c r="A87" s="41"/>
      <c r="B87" s="43" t="s">
        <v>226</v>
      </c>
      <c r="C87" s="43" t="s">
        <v>212</v>
      </c>
      <c r="D87" s="43"/>
      <c r="E87" s="43"/>
      <c r="F87" s="43" t="s">
        <v>229</v>
      </c>
      <c r="G87" s="43" t="s">
        <v>230</v>
      </c>
      <c r="H87" s="43"/>
      <c r="I87" s="43" t="s">
        <v>195</v>
      </c>
      <c r="J87" s="43"/>
      <c r="K87" s="43"/>
      <c r="W87" s="43"/>
      <c r="X87" s="43"/>
      <c r="Y87" s="43"/>
      <c r="AL87" s="43"/>
      <c r="AM87" s="43" t="s">
        <v>228</v>
      </c>
    </row>
    <row r="88" spans="1:39" ht="25.9" hidden="1">
      <c r="A88" s="41"/>
      <c r="B88" s="43"/>
      <c r="C88" s="43" t="s">
        <v>212</v>
      </c>
      <c r="D88" s="43"/>
      <c r="E88" s="43"/>
      <c r="F88" s="43" t="s">
        <v>231</v>
      </c>
      <c r="G88" s="43" t="s">
        <v>232</v>
      </c>
      <c r="H88" s="43"/>
      <c r="I88" s="43" t="s">
        <v>195</v>
      </c>
      <c r="J88" s="43"/>
      <c r="K88" s="43"/>
      <c r="W88" s="43"/>
      <c r="X88" s="43"/>
      <c r="Y88" s="43"/>
      <c r="AL88" s="43"/>
      <c r="AM88" s="43" t="s">
        <v>228</v>
      </c>
    </row>
    <row r="89" spans="1:39" ht="13.15" hidden="1">
      <c r="A89" s="41"/>
      <c r="B89" s="43"/>
      <c r="C89" s="43" t="s">
        <v>233</v>
      </c>
      <c r="D89" s="43"/>
      <c r="E89" s="43"/>
      <c r="F89" s="43" t="s">
        <v>234</v>
      </c>
      <c r="G89" s="43" t="s">
        <v>235</v>
      </c>
      <c r="H89" s="43"/>
      <c r="I89" s="43" t="s">
        <v>195</v>
      </c>
      <c r="J89" s="43"/>
      <c r="K89" s="43"/>
      <c r="W89" s="43"/>
      <c r="X89" s="43"/>
      <c r="Y89" s="43"/>
      <c r="AL89" s="43"/>
      <c r="AM89" s="43" t="s">
        <v>236</v>
      </c>
    </row>
    <row r="90" spans="1:39" ht="25.9" hidden="1">
      <c r="A90" s="41"/>
      <c r="B90" s="43" t="s">
        <v>226</v>
      </c>
      <c r="C90" s="43" t="s">
        <v>237</v>
      </c>
      <c r="F90" s="43" t="s">
        <v>238</v>
      </c>
      <c r="G90" s="43" t="s">
        <v>239</v>
      </c>
      <c r="H90" s="43"/>
      <c r="I90" s="43" t="s">
        <v>195</v>
      </c>
      <c r="J90" s="43"/>
      <c r="K90" s="43"/>
      <c r="W90" s="43"/>
      <c r="X90" s="43"/>
      <c r="Y90" s="43"/>
      <c r="AL90" s="43"/>
      <c r="AM90" s="43" t="s">
        <v>228</v>
      </c>
    </row>
    <row r="91" spans="1:39" ht="25.9" hidden="1">
      <c r="A91" s="41"/>
      <c r="B91" s="43" t="s">
        <v>226</v>
      </c>
      <c r="C91" s="43"/>
      <c r="F91" s="43" t="s">
        <v>238</v>
      </c>
      <c r="G91" s="43" t="s">
        <v>240</v>
      </c>
      <c r="H91" s="43"/>
      <c r="I91" s="43" t="s">
        <v>195</v>
      </c>
      <c r="J91" s="43"/>
      <c r="K91" s="43"/>
      <c r="W91" s="43"/>
      <c r="X91" s="43"/>
      <c r="Y91" s="43"/>
      <c r="AL91" s="43"/>
      <c r="AM91" s="43" t="s">
        <v>228</v>
      </c>
    </row>
    <row r="92" spans="1:39" ht="25.9" hidden="1">
      <c r="A92" s="41"/>
      <c r="B92" s="43" t="s">
        <v>226</v>
      </c>
      <c r="C92" s="43"/>
      <c r="F92" s="43" t="s">
        <v>238</v>
      </c>
      <c r="G92" s="43" t="s">
        <v>241</v>
      </c>
      <c r="H92" s="43"/>
      <c r="I92" s="43" t="s">
        <v>195</v>
      </c>
      <c r="J92" s="43"/>
      <c r="K92" s="43"/>
      <c r="W92" s="43"/>
      <c r="X92" s="43"/>
      <c r="Y92" s="43"/>
      <c r="AL92" s="43"/>
      <c r="AM92" s="43" t="s">
        <v>228</v>
      </c>
    </row>
    <row r="93" spans="1:39" ht="25.9" hidden="1">
      <c r="A93" s="41"/>
      <c r="B93" s="43" t="s">
        <v>226</v>
      </c>
      <c r="C93" s="43"/>
      <c r="F93" s="43" t="s">
        <v>238</v>
      </c>
      <c r="G93" s="43" t="s">
        <v>242</v>
      </c>
      <c r="H93" s="43"/>
      <c r="I93" s="43" t="s">
        <v>195</v>
      </c>
      <c r="J93" s="43"/>
      <c r="K93" s="43"/>
      <c r="W93" s="43"/>
      <c r="X93" s="43"/>
      <c r="Y93" s="43"/>
      <c r="AL93" s="43"/>
      <c r="AM93" s="43" t="s">
        <v>228</v>
      </c>
    </row>
    <row r="94" spans="1:39" ht="25.9" hidden="1">
      <c r="A94" s="41"/>
      <c r="B94" s="43" t="s">
        <v>226</v>
      </c>
      <c r="C94" s="43"/>
      <c r="F94" s="43" t="s">
        <v>238</v>
      </c>
      <c r="G94" s="43" t="s">
        <v>243</v>
      </c>
      <c r="H94" s="43"/>
      <c r="I94" s="43" t="s">
        <v>195</v>
      </c>
      <c r="J94" s="43"/>
      <c r="K94" s="43"/>
      <c r="W94" s="43"/>
      <c r="X94" s="43"/>
      <c r="Y94" s="43"/>
      <c r="AL94" s="43"/>
      <c r="AM94" s="43" t="s">
        <v>228</v>
      </c>
    </row>
    <row r="95" spans="1:39" ht="25.9" hidden="1">
      <c r="A95" s="41"/>
      <c r="B95" s="43" t="s">
        <v>226</v>
      </c>
      <c r="F95" s="43" t="s">
        <v>238</v>
      </c>
      <c r="G95" s="43" t="s">
        <v>244</v>
      </c>
      <c r="H95" s="43"/>
      <c r="I95" s="43" t="s">
        <v>195</v>
      </c>
      <c r="J95" s="43"/>
      <c r="K95" s="43"/>
      <c r="W95" s="43"/>
      <c r="X95" s="43"/>
      <c r="Y95" s="43"/>
      <c r="AL95" s="43"/>
      <c r="AM95" s="43" t="s">
        <v>228</v>
      </c>
    </row>
    <row r="96" spans="1:39" ht="25.9" hidden="1">
      <c r="A96" s="41"/>
      <c r="B96" s="43"/>
      <c r="C96" s="43"/>
      <c r="D96" s="43"/>
      <c r="E96" s="43"/>
      <c r="F96" s="43" t="s">
        <v>245</v>
      </c>
      <c r="G96" s="43" t="s">
        <v>246</v>
      </c>
      <c r="H96" s="43"/>
      <c r="I96" s="43" t="s">
        <v>195</v>
      </c>
      <c r="J96" s="43"/>
      <c r="K96" s="43"/>
      <c r="W96" s="43"/>
      <c r="X96" s="43"/>
      <c r="Y96" s="43"/>
      <c r="AL96" s="43"/>
      <c r="AM96" s="43" t="s">
        <v>228</v>
      </c>
    </row>
    <row r="97" spans="1:39" ht="13.15" hidden="1">
      <c r="A97" s="41"/>
      <c r="B97" s="43"/>
      <c r="C97" s="43"/>
      <c r="D97" s="43"/>
      <c r="E97" s="43"/>
      <c r="F97" s="43"/>
      <c r="G97" s="43"/>
      <c r="H97" s="43"/>
      <c r="I97" s="43"/>
      <c r="J97" s="43"/>
      <c r="K97" s="43"/>
      <c r="W97" s="43"/>
      <c r="X97" s="43"/>
      <c r="Y97" s="43"/>
      <c r="AL97" s="43"/>
      <c r="AM97" s="43"/>
    </row>
    <row r="98" spans="1:39" ht="13.15" hidden="1">
      <c r="A98" s="41"/>
      <c r="B98" s="43"/>
      <c r="C98" s="43"/>
      <c r="D98" s="43"/>
      <c r="E98" s="43"/>
      <c r="F98" s="43"/>
      <c r="G98" s="43"/>
      <c r="H98" s="43"/>
      <c r="I98" s="43"/>
      <c r="J98" s="43"/>
      <c r="K98" s="43"/>
      <c r="W98" s="43"/>
      <c r="X98" s="43"/>
      <c r="Y98" s="43"/>
      <c r="AL98" s="43"/>
      <c r="AM98" s="43"/>
    </row>
    <row r="99" spans="1:39" ht="13.15">
      <c r="A99" s="41"/>
      <c r="B99" s="43"/>
      <c r="C99" s="43"/>
      <c r="D99" s="43"/>
      <c r="E99" s="43"/>
      <c r="F99" s="43"/>
      <c r="G99" s="43"/>
      <c r="H99" s="43"/>
      <c r="I99" s="43"/>
      <c r="J99" s="43"/>
      <c r="K99" s="43"/>
      <c r="W99" s="43"/>
      <c r="X99" s="43"/>
      <c r="Y99" s="43"/>
      <c r="AL99" s="43"/>
      <c r="AM99" s="43"/>
    </row>
    <row r="100" spans="1:39" ht="13.15">
      <c r="A100" s="41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W100" s="43"/>
      <c r="X100" s="43"/>
      <c r="Y100" s="43"/>
      <c r="AL100" s="43"/>
      <c r="AM100" s="43"/>
    </row>
    <row r="101" spans="1:39" ht="13.15">
      <c r="A101" s="41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W101" s="43"/>
      <c r="X101" s="43"/>
      <c r="Y101" s="43"/>
      <c r="AL101" s="43"/>
      <c r="AM101" s="43"/>
    </row>
    <row r="102" spans="1:39" ht="13.15">
      <c r="A102" s="41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W102" s="43"/>
      <c r="X102" s="43"/>
      <c r="Y102" s="43"/>
      <c r="AL102" s="43"/>
      <c r="AM102" s="43"/>
    </row>
    <row r="103" spans="1:39" ht="13.15">
      <c r="A103" s="41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W103" s="43"/>
      <c r="X103" s="43"/>
      <c r="Y103" s="43"/>
      <c r="AL103" s="43"/>
      <c r="AM103" s="43"/>
    </row>
    <row r="104" spans="1:39" ht="13.15">
      <c r="A104" s="41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W104" s="43"/>
      <c r="X104" s="43"/>
      <c r="Y104" s="43"/>
      <c r="AL104" s="43"/>
      <c r="AM104" s="43"/>
    </row>
    <row r="105" spans="1:39" ht="13.15">
      <c r="A105" s="41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W105" s="43"/>
      <c r="X105" s="43"/>
      <c r="Y105" s="43"/>
      <c r="AL105" s="43"/>
      <c r="AM105" s="43"/>
    </row>
    <row r="106" spans="1:39" ht="13.15">
      <c r="C106" s="41"/>
      <c r="D106" s="43"/>
      <c r="E106" s="43"/>
      <c r="F106" s="43"/>
      <c r="G106" s="43"/>
      <c r="H106" s="43"/>
      <c r="I106" s="43"/>
      <c r="J106" s="43"/>
      <c r="K106" s="43"/>
      <c r="W106" s="43"/>
      <c r="X106" s="43"/>
      <c r="Y106" s="43"/>
      <c r="AL106" s="43"/>
      <c r="AM106" s="43"/>
    </row>
    <row r="107" spans="1:39" ht="13.15">
      <c r="C107" s="41"/>
      <c r="D107" s="43"/>
      <c r="E107" s="43"/>
      <c r="F107" s="43"/>
      <c r="G107" s="43"/>
      <c r="H107" s="43"/>
      <c r="I107" s="43"/>
      <c r="J107" s="43"/>
      <c r="K107" s="43"/>
      <c r="W107" s="43"/>
      <c r="X107" s="43"/>
      <c r="Y107" s="43"/>
      <c r="AL107" s="43"/>
      <c r="AM107" s="43"/>
    </row>
    <row r="108" spans="1:39" ht="13.15">
      <c r="C108" s="41"/>
      <c r="D108" s="43"/>
      <c r="E108" s="43"/>
      <c r="F108" s="43"/>
      <c r="G108" s="43"/>
      <c r="H108" s="43"/>
      <c r="I108" s="43"/>
      <c r="J108" s="43"/>
      <c r="K108" s="43"/>
      <c r="W108" s="43"/>
      <c r="X108" s="43"/>
      <c r="Y108" s="43"/>
      <c r="AL108" s="43"/>
      <c r="AM108" s="43"/>
    </row>
    <row r="109" spans="1:39" ht="13.15">
      <c r="C109" s="41"/>
      <c r="D109" s="43"/>
      <c r="E109" s="43"/>
      <c r="F109" s="43"/>
      <c r="G109" s="43"/>
      <c r="H109" s="43"/>
      <c r="I109" s="43"/>
      <c r="J109" s="43"/>
      <c r="K109" s="43"/>
      <c r="W109" s="43"/>
      <c r="X109" s="43"/>
      <c r="Y109" s="43"/>
      <c r="AL109" s="43"/>
      <c r="AM109" s="43"/>
    </row>
    <row r="110" spans="1:39" ht="13.15">
      <c r="A110" s="41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W110" s="43"/>
      <c r="X110" s="43"/>
      <c r="Y110" s="43"/>
      <c r="AL110" s="43"/>
      <c r="AM110" s="43"/>
    </row>
    <row r="111" spans="1:39" ht="13.15">
      <c r="A111" s="41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W111" s="43"/>
      <c r="X111" s="43"/>
      <c r="Y111" s="43"/>
      <c r="AL111" s="43"/>
      <c r="AM111" s="43"/>
    </row>
    <row r="112" spans="1:39" ht="13.15">
      <c r="A112" s="41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W112" s="43"/>
      <c r="X112" s="43"/>
      <c r="Y112" s="43"/>
      <c r="AL112" s="43"/>
      <c r="AM112" s="43"/>
    </row>
    <row r="113" spans="1:39" ht="13.15">
      <c r="A113" s="41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W113" s="43"/>
      <c r="X113" s="43"/>
      <c r="Y113" s="43"/>
      <c r="AL113" s="43"/>
      <c r="AM113" s="43"/>
    </row>
    <row r="114" spans="1:39" ht="13.15">
      <c r="A114" s="41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W114" s="43"/>
      <c r="X114" s="43"/>
      <c r="Y114" s="43"/>
      <c r="AL114" s="43"/>
      <c r="AM114" s="43"/>
    </row>
    <row r="115" spans="1:39" ht="13.15">
      <c r="A115" s="41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W115" s="43"/>
      <c r="X115" s="43"/>
      <c r="Y115" s="43"/>
      <c r="AL115" s="43"/>
      <c r="AM115" s="43"/>
    </row>
    <row r="116" spans="1:39" ht="13.15">
      <c r="A116" s="41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W116" s="43"/>
      <c r="X116" s="43"/>
      <c r="Y116" s="43"/>
      <c r="AL116" s="43"/>
      <c r="AM116" s="43"/>
    </row>
    <row r="117" spans="1:39" ht="13.15">
      <c r="A117" s="41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W117" s="43"/>
      <c r="X117" s="43"/>
      <c r="Y117" s="43"/>
      <c r="AL117" s="43"/>
      <c r="AM117" s="43"/>
    </row>
    <row r="118" spans="1:39" ht="13.15">
      <c r="A118" s="41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W118" s="43"/>
      <c r="X118" s="43"/>
      <c r="Y118" s="43"/>
      <c r="AL118" s="43"/>
      <c r="AM118" s="43"/>
    </row>
    <row r="119" spans="1:39" ht="13.15">
      <c r="A119" s="41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W119" s="43"/>
      <c r="X119" s="43"/>
      <c r="Y119" s="43"/>
      <c r="AL119" s="43"/>
      <c r="AM119" s="43"/>
    </row>
    <row r="120" spans="1:39" ht="13.15">
      <c r="A120" s="41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W120" s="43"/>
      <c r="X120" s="43"/>
      <c r="Y120" s="43"/>
      <c r="AL120" s="43"/>
      <c r="AM120" s="43"/>
    </row>
    <row r="121" spans="1:39" ht="13.15">
      <c r="A121" s="41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W121" s="43"/>
      <c r="X121" s="43"/>
      <c r="Y121" s="43"/>
      <c r="AL121" s="43"/>
      <c r="AM121" s="43"/>
    </row>
    <row r="122" spans="1:39" ht="13.15">
      <c r="A122" s="41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W122" s="43"/>
      <c r="X122" s="43"/>
      <c r="Y122" s="43"/>
      <c r="AL122" s="43"/>
      <c r="AM122" s="43"/>
    </row>
    <row r="123" spans="1:39" ht="13.15">
      <c r="A123" s="41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W123" s="43"/>
      <c r="X123" s="43"/>
      <c r="Y123" s="43"/>
      <c r="AL123" s="43"/>
      <c r="AM123" s="43"/>
    </row>
    <row r="124" spans="1:39" ht="13.15">
      <c r="A124" s="41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W124" s="43"/>
      <c r="X124" s="43"/>
      <c r="Y124" s="43"/>
      <c r="AL124" s="43"/>
      <c r="AM124" s="43"/>
    </row>
    <row r="125" spans="1:39" ht="13.15">
      <c r="A125" s="41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W125" s="43"/>
      <c r="X125" s="43"/>
      <c r="Y125" s="43"/>
      <c r="AL125" s="43"/>
      <c r="AM125" s="43"/>
    </row>
    <row r="126" spans="1:39" ht="13.15">
      <c r="A126" s="41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W126" s="43"/>
      <c r="X126" s="43"/>
      <c r="Y126" s="43"/>
      <c r="AL126" s="43"/>
      <c r="AM126" s="43"/>
    </row>
    <row r="127" spans="1:39" ht="13.15">
      <c r="A127" s="41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W127" s="43"/>
      <c r="X127" s="43"/>
      <c r="Y127" s="43"/>
      <c r="AL127" s="43"/>
      <c r="AM127" s="43"/>
    </row>
    <row r="128" spans="1:39" ht="13.15">
      <c r="A128" s="41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W128" s="43"/>
      <c r="X128" s="43"/>
      <c r="Y128" s="43"/>
      <c r="AL128" s="43"/>
      <c r="AM128" s="43"/>
    </row>
    <row r="129" spans="1:39" ht="13.15">
      <c r="A129" s="41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W129" s="43"/>
      <c r="X129" s="43"/>
      <c r="Y129" s="43"/>
      <c r="AL129" s="43"/>
      <c r="AM129" s="43"/>
    </row>
    <row r="130" spans="1:39" ht="13.15">
      <c r="A130" s="41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W130" s="43"/>
      <c r="X130" s="43"/>
      <c r="Y130" s="43"/>
      <c r="AL130" s="43"/>
      <c r="AM130" s="43"/>
    </row>
    <row r="131" spans="1:39" ht="13.15">
      <c r="A131" s="41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W131" s="43"/>
      <c r="X131" s="43"/>
      <c r="Y131" s="43"/>
      <c r="AL131" s="43"/>
      <c r="AM131" s="43"/>
    </row>
    <row r="132" spans="1:39" ht="13.15">
      <c r="A132" s="41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W132" s="43"/>
      <c r="X132" s="43"/>
      <c r="Y132" s="43"/>
      <c r="AL132" s="43"/>
      <c r="AM132" s="43"/>
    </row>
    <row r="133" spans="1:39" ht="13.15">
      <c r="A133" s="41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W133" s="43"/>
      <c r="X133" s="43"/>
      <c r="Y133" s="43"/>
      <c r="AL133" s="43"/>
      <c r="AM133" s="43"/>
    </row>
    <row r="134" spans="1:39" ht="13.15">
      <c r="A134" s="41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W134" s="43"/>
      <c r="X134" s="43"/>
      <c r="Y134" s="43"/>
      <c r="AL134" s="43"/>
      <c r="AM134" s="43"/>
    </row>
    <row r="135" spans="1:39" ht="13.15">
      <c r="A135" s="41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W135" s="43"/>
      <c r="X135" s="43"/>
      <c r="Y135" s="43"/>
      <c r="AL135" s="43"/>
      <c r="AM135" s="43"/>
    </row>
    <row r="136" spans="1:39" ht="13.15">
      <c r="A136" s="41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W136" s="43"/>
      <c r="X136" s="43"/>
      <c r="Y136" s="43"/>
      <c r="AL136" s="43"/>
      <c r="AM136" s="43"/>
    </row>
    <row r="137" spans="1:39" ht="13.15">
      <c r="A137" s="41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W137" s="43"/>
      <c r="X137" s="43"/>
      <c r="Y137" s="43"/>
      <c r="AL137" s="43"/>
      <c r="AM137" s="43"/>
    </row>
    <row r="138" spans="1:39" ht="13.15">
      <c r="A138" s="41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W138" s="43"/>
      <c r="X138" s="43"/>
      <c r="Y138" s="43"/>
      <c r="AL138" s="43"/>
      <c r="AM138" s="43"/>
    </row>
    <row r="139" spans="1:39" ht="13.15">
      <c r="A139" s="41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W139" s="43"/>
      <c r="X139" s="43"/>
      <c r="Y139" s="43"/>
      <c r="AL139" s="43"/>
      <c r="AM139" s="43"/>
    </row>
    <row r="140" spans="1:39" ht="13.15">
      <c r="A140" s="41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W140" s="43"/>
      <c r="X140" s="43"/>
      <c r="Y140" s="43"/>
      <c r="AL140" s="43"/>
      <c r="AM140" s="43"/>
    </row>
    <row r="141" spans="1:39" ht="13.15">
      <c r="A141" s="41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W141" s="43"/>
      <c r="X141" s="43"/>
      <c r="Y141" s="43"/>
      <c r="AL141" s="43"/>
      <c r="AM141" s="43"/>
    </row>
    <row r="142" spans="1:39" ht="13.15">
      <c r="A142" s="41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W142" s="43"/>
      <c r="X142" s="43"/>
      <c r="Y142" s="43"/>
      <c r="AL142" s="43"/>
      <c r="AM142" s="43"/>
    </row>
    <row r="143" spans="1:39" ht="13.15">
      <c r="A143" s="41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W143" s="43"/>
      <c r="X143" s="43"/>
      <c r="Y143" s="43"/>
      <c r="AL143" s="43"/>
      <c r="AM143" s="43"/>
    </row>
    <row r="144" spans="1:39" ht="13.15">
      <c r="A144" s="41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W144" s="43"/>
      <c r="X144" s="43"/>
      <c r="Y144" s="43"/>
      <c r="AL144" s="43"/>
      <c r="AM144" s="43"/>
    </row>
    <row r="145" spans="1:39" ht="13.15">
      <c r="A145" s="41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W145" s="43"/>
      <c r="X145" s="43"/>
      <c r="Y145" s="43"/>
      <c r="AL145" s="43"/>
      <c r="AM145" s="43"/>
    </row>
    <row r="146" spans="1:39" ht="13.15">
      <c r="A146" s="41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W146" s="43"/>
      <c r="X146" s="43"/>
      <c r="Y146" s="43"/>
      <c r="AL146" s="43"/>
      <c r="AM146" s="43"/>
    </row>
    <row r="147" spans="1:39" ht="13.15">
      <c r="A147" s="41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W147" s="43"/>
      <c r="X147" s="43"/>
      <c r="Y147" s="43"/>
      <c r="AL147" s="43"/>
      <c r="AM147" s="43"/>
    </row>
    <row r="148" spans="1:39" ht="13.15">
      <c r="A148" s="41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W148" s="43"/>
      <c r="X148" s="43"/>
      <c r="Y148" s="43"/>
      <c r="AL148" s="43"/>
      <c r="AM148" s="43"/>
    </row>
    <row r="149" spans="1:39" ht="13.15">
      <c r="A149" s="41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W149" s="43"/>
      <c r="X149" s="43"/>
      <c r="Y149" s="43"/>
      <c r="AL149" s="43"/>
      <c r="AM149" s="43"/>
    </row>
    <row r="150" spans="1:39" ht="13.15">
      <c r="A150" s="41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W150" s="43"/>
      <c r="X150" s="43"/>
      <c r="Y150" s="43"/>
      <c r="AL150" s="43"/>
      <c r="AM150" s="43"/>
    </row>
    <row r="151" spans="1:39" ht="13.15">
      <c r="A151" s="41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W151" s="43"/>
      <c r="X151" s="43"/>
      <c r="Y151" s="43"/>
      <c r="AL151" s="43"/>
      <c r="AM151" s="43"/>
    </row>
    <row r="152" spans="1:39" ht="13.15">
      <c r="A152" s="41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W152" s="43"/>
      <c r="X152" s="43"/>
      <c r="Y152" s="43"/>
      <c r="AL152" s="43"/>
      <c r="AM152" s="43"/>
    </row>
    <row r="153" spans="1:39" ht="13.15">
      <c r="A153" s="41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W153" s="43"/>
      <c r="X153" s="43"/>
      <c r="Y153" s="43"/>
      <c r="AL153" s="43"/>
      <c r="AM153" s="43"/>
    </row>
    <row r="154" spans="1:39" ht="13.15">
      <c r="A154" s="41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W154" s="43"/>
      <c r="X154" s="43"/>
      <c r="Y154" s="43"/>
      <c r="AL154" s="43"/>
      <c r="AM154" s="43"/>
    </row>
    <row r="155" spans="1:39" ht="13.15">
      <c r="A155" s="41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W155" s="43"/>
      <c r="X155" s="43"/>
      <c r="Y155" s="43"/>
      <c r="AL155" s="43"/>
      <c r="AM155" s="43"/>
    </row>
    <row r="156" spans="1:39" ht="13.15">
      <c r="A156" s="41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W156" s="43"/>
      <c r="X156" s="43"/>
      <c r="Y156" s="43"/>
      <c r="AL156" s="43"/>
      <c r="AM156" s="43"/>
    </row>
    <row r="157" spans="1:39" ht="13.15">
      <c r="A157" s="41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W157" s="43"/>
      <c r="X157" s="43"/>
      <c r="Y157" s="43"/>
      <c r="AL157" s="43"/>
      <c r="AM157" s="43"/>
    </row>
    <row r="158" spans="1:39" ht="13.15">
      <c r="A158" s="41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W158" s="43"/>
      <c r="X158" s="43"/>
      <c r="Y158" s="43"/>
      <c r="AL158" s="43"/>
      <c r="AM158" s="43"/>
    </row>
    <row r="159" spans="1:39" ht="13.15">
      <c r="A159" s="41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W159" s="43"/>
      <c r="X159" s="43"/>
      <c r="Y159" s="43"/>
      <c r="AL159" s="43"/>
      <c r="AM159" s="43"/>
    </row>
    <row r="160" spans="1:39" ht="13.15">
      <c r="A160" s="41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W160" s="43"/>
      <c r="X160" s="43"/>
      <c r="Y160" s="43"/>
      <c r="AL160" s="43"/>
      <c r="AM160" s="43"/>
    </row>
    <row r="161" spans="1:39" ht="13.15">
      <c r="A161" s="41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W161" s="43"/>
      <c r="X161" s="43"/>
      <c r="Y161" s="43"/>
      <c r="AL161" s="43"/>
      <c r="AM161" s="43"/>
    </row>
    <row r="162" spans="1:39" ht="13.15">
      <c r="A162" s="41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W162" s="43"/>
      <c r="X162" s="43"/>
      <c r="Y162" s="43"/>
      <c r="AL162" s="43"/>
      <c r="AM162" s="43"/>
    </row>
    <row r="163" spans="1:39" ht="13.15">
      <c r="A163" s="41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W163" s="43"/>
      <c r="X163" s="43"/>
      <c r="Y163" s="43"/>
      <c r="AL163" s="43"/>
      <c r="AM163" s="43"/>
    </row>
    <row r="164" spans="1:39" ht="13.15">
      <c r="A164" s="41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W164" s="43"/>
      <c r="X164" s="43"/>
      <c r="Y164" s="43"/>
      <c r="AL164" s="43"/>
      <c r="AM164" s="43"/>
    </row>
    <row r="165" spans="1:39" ht="13.15">
      <c r="A165" s="41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W165" s="43"/>
      <c r="X165" s="43"/>
      <c r="Y165" s="43"/>
      <c r="AL165" s="43"/>
      <c r="AM165" s="43"/>
    </row>
    <row r="166" spans="1:39" ht="13.15">
      <c r="A166" s="41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W166" s="43"/>
      <c r="X166" s="43"/>
      <c r="Y166" s="43"/>
      <c r="AL166" s="43"/>
      <c r="AM166" s="43"/>
    </row>
    <row r="167" spans="1:39" ht="13.15">
      <c r="A167" s="41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W167" s="43"/>
      <c r="X167" s="43"/>
      <c r="Y167" s="43"/>
      <c r="AL167" s="43"/>
      <c r="AM167" s="43"/>
    </row>
    <row r="168" spans="1:39" ht="13.15">
      <c r="A168" s="41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W168" s="43"/>
      <c r="X168" s="43"/>
      <c r="Y168" s="43"/>
      <c r="AL168" s="43"/>
      <c r="AM168" s="43"/>
    </row>
    <row r="169" spans="1:39" ht="13.15">
      <c r="A169" s="41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W169" s="43"/>
      <c r="X169" s="43"/>
      <c r="Y169" s="43"/>
      <c r="AL169" s="43"/>
      <c r="AM169" s="43"/>
    </row>
    <row r="170" spans="1:39" ht="13.15">
      <c r="A170" s="41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W170" s="43"/>
      <c r="X170" s="43"/>
      <c r="Y170" s="43"/>
      <c r="AL170" s="43"/>
      <c r="AM170" s="43"/>
    </row>
    <row r="171" spans="1:39" ht="13.15">
      <c r="A171" s="41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W171" s="43"/>
      <c r="X171" s="43"/>
      <c r="Y171" s="43"/>
      <c r="AL171" s="43"/>
      <c r="AM171" s="43"/>
    </row>
    <row r="172" spans="1:39" ht="13.15">
      <c r="A172" s="41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W172" s="43"/>
      <c r="X172" s="43"/>
      <c r="Y172" s="43"/>
      <c r="AL172" s="43"/>
      <c r="AM172" s="43"/>
    </row>
    <row r="173" spans="1:39" ht="13.15">
      <c r="A173" s="41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W173" s="43"/>
      <c r="X173" s="43"/>
      <c r="Y173" s="43"/>
      <c r="AL173" s="43"/>
      <c r="AM173" s="43"/>
    </row>
    <row r="174" spans="1:39" ht="13.15">
      <c r="A174" s="41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W174" s="43"/>
      <c r="X174" s="43"/>
      <c r="Y174" s="43"/>
      <c r="AL174" s="43"/>
      <c r="AM174" s="43"/>
    </row>
    <row r="175" spans="1:39" ht="13.15">
      <c r="A175" s="41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W175" s="43"/>
      <c r="X175" s="43"/>
      <c r="Y175" s="43"/>
      <c r="AL175" s="43"/>
      <c r="AM175" s="43"/>
    </row>
    <row r="176" spans="1:39" ht="13.15">
      <c r="A176" s="41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W176" s="43"/>
      <c r="X176" s="43"/>
      <c r="Y176" s="43"/>
      <c r="AL176" s="43"/>
      <c r="AM176" s="43"/>
    </row>
    <row r="177" spans="1:39" ht="13.15">
      <c r="A177" s="41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W177" s="43"/>
      <c r="X177" s="43"/>
      <c r="Y177" s="43"/>
      <c r="AL177" s="43"/>
      <c r="AM177" s="43"/>
    </row>
    <row r="178" spans="1:39" ht="13.15">
      <c r="A178" s="41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W178" s="43"/>
      <c r="X178" s="43"/>
      <c r="Y178" s="43"/>
      <c r="AL178" s="43"/>
      <c r="AM178" s="43"/>
    </row>
    <row r="179" spans="1:39" ht="13.15">
      <c r="A179" s="41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W179" s="43"/>
      <c r="X179" s="43"/>
      <c r="Y179" s="43"/>
      <c r="AL179" s="43"/>
      <c r="AM179" s="43"/>
    </row>
    <row r="180" spans="1:39" ht="13.15">
      <c r="A180" s="41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W180" s="43"/>
      <c r="X180" s="43"/>
      <c r="Y180" s="43"/>
      <c r="AL180" s="43"/>
      <c r="AM180" s="43"/>
    </row>
    <row r="181" spans="1:39" ht="13.15">
      <c r="A181" s="41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W181" s="43"/>
      <c r="X181" s="43"/>
      <c r="Y181" s="43"/>
      <c r="AL181" s="43"/>
      <c r="AM181" s="43"/>
    </row>
    <row r="182" spans="1:39" ht="13.15">
      <c r="A182" s="41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W182" s="43"/>
      <c r="X182" s="43"/>
      <c r="Y182" s="43"/>
      <c r="AL182" s="43"/>
      <c r="AM182" s="43"/>
    </row>
    <row r="183" spans="1:39" ht="13.15">
      <c r="A183" s="41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W183" s="43"/>
      <c r="X183" s="43"/>
      <c r="Y183" s="43"/>
      <c r="AL183" s="43"/>
      <c r="AM183" s="43"/>
    </row>
    <row r="184" spans="1:39" ht="13.15">
      <c r="A184" s="41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W184" s="43"/>
      <c r="X184" s="43"/>
      <c r="Y184" s="43"/>
      <c r="AL184" s="43"/>
      <c r="AM184" s="43"/>
    </row>
    <row r="185" spans="1:39" ht="13.15">
      <c r="A185" s="41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W185" s="43"/>
      <c r="X185" s="43"/>
      <c r="Y185" s="43"/>
      <c r="AL185" s="43"/>
      <c r="AM185" s="43"/>
    </row>
    <row r="186" spans="1:39" ht="13.15">
      <c r="A186" s="41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W186" s="43"/>
      <c r="X186" s="43"/>
      <c r="Y186" s="43"/>
      <c r="AL186" s="43"/>
      <c r="AM186" s="43"/>
    </row>
    <row r="187" spans="1:39" ht="13.15">
      <c r="A187" s="41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W187" s="43"/>
      <c r="X187" s="43"/>
      <c r="Y187" s="43"/>
      <c r="AL187" s="43"/>
      <c r="AM187" s="43"/>
    </row>
    <row r="188" spans="1:39" ht="13.15">
      <c r="A188" s="41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W188" s="43"/>
      <c r="X188" s="43"/>
      <c r="Y188" s="43"/>
      <c r="AL188" s="43"/>
      <c r="AM188" s="43"/>
    </row>
    <row r="189" spans="1:39" ht="13.15">
      <c r="A189" s="41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W189" s="43"/>
      <c r="X189" s="43"/>
      <c r="Y189" s="43"/>
      <c r="AL189" s="43"/>
      <c r="AM189" s="43"/>
    </row>
    <row r="190" spans="1:39" ht="13.15">
      <c r="A190" s="41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W190" s="43"/>
      <c r="X190" s="43"/>
      <c r="Y190" s="43"/>
      <c r="AL190" s="43"/>
      <c r="AM190" s="43"/>
    </row>
    <row r="191" spans="1:39" ht="13.15">
      <c r="A191" s="41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W191" s="43"/>
      <c r="X191" s="43"/>
      <c r="Y191" s="43"/>
      <c r="AL191" s="43"/>
      <c r="AM191" s="43"/>
    </row>
    <row r="192" spans="1:39" ht="13.15">
      <c r="A192" s="41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W192" s="43"/>
      <c r="X192" s="43"/>
      <c r="Y192" s="43"/>
      <c r="AL192" s="43"/>
      <c r="AM192" s="43"/>
    </row>
    <row r="193" spans="1:39" ht="13.15">
      <c r="A193" s="41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W193" s="43"/>
      <c r="X193" s="43"/>
      <c r="Y193" s="43"/>
      <c r="AL193" s="43"/>
      <c r="AM193" s="43"/>
    </row>
    <row r="194" spans="1:39" ht="13.15">
      <c r="A194" s="41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W194" s="43"/>
      <c r="X194" s="43"/>
      <c r="Y194" s="43"/>
      <c r="AL194" s="43"/>
      <c r="AM194" s="43"/>
    </row>
    <row r="195" spans="1:39" ht="13.15">
      <c r="A195" s="41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W195" s="43"/>
      <c r="X195" s="43"/>
      <c r="Y195" s="43"/>
      <c r="AL195" s="43"/>
      <c r="AM195" s="43"/>
    </row>
    <row r="196" spans="1:39" ht="13.15">
      <c r="A196" s="41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W196" s="43"/>
      <c r="X196" s="43"/>
      <c r="Y196" s="43"/>
      <c r="AL196" s="43"/>
      <c r="AM196" s="43"/>
    </row>
    <row r="197" spans="1:39" ht="13.15">
      <c r="A197" s="41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W197" s="43"/>
      <c r="X197" s="43"/>
      <c r="Y197" s="43"/>
      <c r="AL197" s="43"/>
      <c r="AM197" s="43"/>
    </row>
    <row r="198" spans="1:39" ht="13.15">
      <c r="A198" s="41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W198" s="43"/>
      <c r="X198" s="43"/>
      <c r="Y198" s="43"/>
      <c r="AL198" s="43"/>
      <c r="AM198" s="43"/>
    </row>
    <row r="199" spans="1:39" ht="13.15">
      <c r="A199" s="41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W199" s="43"/>
      <c r="X199" s="43"/>
      <c r="Y199" s="43"/>
      <c r="AL199" s="43"/>
      <c r="AM199" s="43"/>
    </row>
    <row r="200" spans="1:39" ht="13.15">
      <c r="A200" s="41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W200" s="43"/>
      <c r="X200" s="43"/>
      <c r="Y200" s="43"/>
      <c r="AL200" s="43"/>
      <c r="AM200" s="43"/>
    </row>
    <row r="201" spans="1:39" ht="13.15">
      <c r="A201" s="41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W201" s="43"/>
      <c r="X201" s="43"/>
      <c r="Y201" s="43"/>
      <c r="AL201" s="43"/>
      <c r="AM201" s="43"/>
    </row>
    <row r="202" spans="1:39" ht="13.15">
      <c r="A202" s="41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W202" s="43"/>
      <c r="X202" s="43"/>
      <c r="Y202" s="43"/>
      <c r="AL202" s="43"/>
      <c r="AM202" s="43"/>
    </row>
    <row r="203" spans="1:39" ht="13.15">
      <c r="A203" s="41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W203" s="43"/>
      <c r="X203" s="43"/>
      <c r="Y203" s="43"/>
      <c r="AL203" s="43"/>
      <c r="AM203" s="43"/>
    </row>
    <row r="204" spans="1:39" ht="13.15">
      <c r="A204" s="41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W204" s="43"/>
      <c r="X204" s="43"/>
      <c r="Y204" s="43"/>
      <c r="AL204" s="43"/>
      <c r="AM204" s="43"/>
    </row>
    <row r="205" spans="1:39" ht="13.15">
      <c r="A205" s="41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W205" s="43"/>
      <c r="X205" s="43"/>
      <c r="Y205" s="43"/>
      <c r="AL205" s="43"/>
      <c r="AM205" s="43"/>
    </row>
    <row r="206" spans="1:39" ht="13.15">
      <c r="A206" s="41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W206" s="43"/>
      <c r="X206" s="43"/>
      <c r="Y206" s="43"/>
      <c r="AL206" s="43"/>
      <c r="AM206" s="43"/>
    </row>
    <row r="207" spans="1:39" ht="13.15">
      <c r="A207" s="41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W207" s="43"/>
      <c r="X207" s="43"/>
      <c r="Y207" s="43"/>
      <c r="AL207" s="43"/>
      <c r="AM207" s="43"/>
    </row>
    <row r="208" spans="1:39" ht="13.15">
      <c r="A208" s="41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W208" s="43"/>
      <c r="X208" s="43"/>
      <c r="Y208" s="43"/>
      <c r="AL208" s="43"/>
      <c r="AM208" s="43"/>
    </row>
    <row r="209" spans="1:39" ht="13.15">
      <c r="A209" s="41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W209" s="43"/>
      <c r="X209" s="43"/>
      <c r="Y209" s="43"/>
      <c r="AL209" s="43"/>
      <c r="AM209" s="43"/>
    </row>
    <row r="210" spans="1:39" ht="13.15">
      <c r="A210" s="41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W210" s="43"/>
      <c r="X210" s="43"/>
      <c r="Y210" s="43"/>
      <c r="AL210" s="43"/>
      <c r="AM210" s="43"/>
    </row>
    <row r="211" spans="1:39" ht="13.15">
      <c r="A211" s="41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W211" s="43"/>
      <c r="X211" s="43"/>
      <c r="Y211" s="43"/>
      <c r="AL211" s="43"/>
      <c r="AM211" s="43"/>
    </row>
    <row r="212" spans="1:39" ht="13.15">
      <c r="A212" s="41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W212" s="43"/>
      <c r="X212" s="43"/>
      <c r="Y212" s="43"/>
      <c r="AL212" s="43"/>
      <c r="AM212" s="43"/>
    </row>
    <row r="213" spans="1:39" ht="13.15">
      <c r="A213" s="41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W213" s="43"/>
      <c r="X213" s="43"/>
      <c r="Y213" s="43"/>
      <c r="AL213" s="43"/>
      <c r="AM213" s="43"/>
    </row>
    <row r="214" spans="1:39" ht="13.15">
      <c r="A214" s="41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W214" s="43"/>
      <c r="X214" s="43"/>
      <c r="Y214" s="43"/>
      <c r="AL214" s="43"/>
      <c r="AM214" s="43"/>
    </row>
    <row r="215" spans="1:39" ht="13.15">
      <c r="A215" s="41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W215" s="43"/>
      <c r="X215" s="43"/>
      <c r="Y215" s="43"/>
      <c r="AL215" s="43"/>
      <c r="AM215" s="43"/>
    </row>
    <row r="216" spans="1:39" ht="13.15">
      <c r="A216" s="41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W216" s="43"/>
      <c r="X216" s="43"/>
      <c r="Y216" s="43"/>
      <c r="AL216" s="43"/>
      <c r="AM216" s="43"/>
    </row>
    <row r="217" spans="1:39" ht="13.15">
      <c r="A217" s="41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W217" s="43"/>
      <c r="X217" s="43"/>
      <c r="Y217" s="43"/>
      <c r="AL217" s="43"/>
      <c r="AM217" s="43"/>
    </row>
    <row r="218" spans="1:39" ht="13.15">
      <c r="A218" s="41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W218" s="43"/>
      <c r="X218" s="43"/>
      <c r="Y218" s="43"/>
      <c r="AL218" s="43"/>
      <c r="AM218" s="43"/>
    </row>
    <row r="219" spans="1:39" ht="13.15">
      <c r="A219" s="41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W219" s="43"/>
      <c r="X219" s="43"/>
      <c r="Y219" s="43"/>
      <c r="AL219" s="43"/>
      <c r="AM219" s="43"/>
    </row>
    <row r="220" spans="1:39" ht="13.15">
      <c r="A220" s="41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W220" s="43"/>
      <c r="X220" s="43"/>
      <c r="Y220" s="43"/>
      <c r="AL220" s="43"/>
      <c r="AM220" s="43"/>
    </row>
    <row r="221" spans="1:39" ht="13.15">
      <c r="A221" s="41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W221" s="43"/>
      <c r="X221" s="43"/>
      <c r="Y221" s="43"/>
      <c r="AL221" s="43"/>
      <c r="AM221" s="43"/>
    </row>
    <row r="222" spans="1:39" ht="13.15">
      <c r="A222" s="41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W222" s="43"/>
      <c r="X222" s="43"/>
      <c r="Y222" s="43"/>
      <c r="AL222" s="43"/>
      <c r="AM222" s="43"/>
    </row>
    <row r="223" spans="1:39" ht="13.15">
      <c r="A223" s="41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W223" s="43"/>
      <c r="X223" s="43"/>
      <c r="Y223" s="43"/>
      <c r="AL223" s="43"/>
      <c r="AM223" s="43"/>
    </row>
    <row r="224" spans="1:39" ht="13.15">
      <c r="A224" s="41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W224" s="43"/>
      <c r="X224" s="43"/>
      <c r="Y224" s="43"/>
      <c r="AL224" s="43"/>
      <c r="AM224" s="43"/>
    </row>
    <row r="225" spans="1:39" ht="13.15">
      <c r="A225" s="41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W225" s="43"/>
      <c r="X225" s="43"/>
      <c r="Y225" s="43"/>
      <c r="AL225" s="43"/>
      <c r="AM225" s="43"/>
    </row>
    <row r="226" spans="1:39" ht="13.15">
      <c r="A226" s="41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W226" s="43"/>
      <c r="X226" s="43"/>
      <c r="Y226" s="43"/>
      <c r="AL226" s="43"/>
      <c r="AM226" s="43"/>
    </row>
    <row r="227" spans="1:39" ht="13.15">
      <c r="A227" s="41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W227" s="43"/>
      <c r="X227" s="43"/>
      <c r="Y227" s="43"/>
      <c r="AL227" s="43"/>
      <c r="AM227" s="43"/>
    </row>
    <row r="228" spans="1:39" ht="13.15">
      <c r="A228" s="41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W228" s="43"/>
      <c r="X228" s="43"/>
      <c r="Y228" s="43"/>
      <c r="AL228" s="43"/>
      <c r="AM228" s="43"/>
    </row>
    <row r="229" spans="1:39" ht="13.15">
      <c r="A229" s="41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W229" s="43"/>
      <c r="X229" s="43"/>
      <c r="Y229" s="43"/>
      <c r="AL229" s="43"/>
      <c r="AM229" s="43"/>
    </row>
    <row r="230" spans="1:39" ht="13.15">
      <c r="A230" s="41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W230" s="43"/>
      <c r="X230" s="43"/>
      <c r="Y230" s="43"/>
      <c r="AL230" s="43"/>
      <c r="AM230" s="43"/>
    </row>
    <row r="231" spans="1:39" ht="13.15">
      <c r="A231" s="41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W231" s="43"/>
      <c r="X231" s="43"/>
      <c r="Y231" s="43"/>
      <c r="AL231" s="43"/>
      <c r="AM231" s="43"/>
    </row>
    <row r="232" spans="1:39" ht="13.15">
      <c r="A232" s="41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W232" s="43"/>
      <c r="X232" s="43"/>
      <c r="Y232" s="43"/>
      <c r="AL232" s="43"/>
      <c r="AM232" s="43"/>
    </row>
    <row r="233" spans="1:39" ht="13.15">
      <c r="A233" s="41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W233" s="43"/>
      <c r="X233" s="43"/>
      <c r="Y233" s="43"/>
      <c r="AL233" s="43"/>
      <c r="AM233" s="43"/>
    </row>
    <row r="234" spans="1:39" ht="13.15">
      <c r="A234" s="41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W234" s="43"/>
      <c r="X234" s="43"/>
      <c r="Y234" s="43"/>
      <c r="AL234" s="43"/>
      <c r="AM234" s="43"/>
    </row>
    <row r="235" spans="1:39" ht="13.15">
      <c r="A235" s="41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W235" s="43"/>
      <c r="X235" s="43"/>
      <c r="Y235" s="43"/>
      <c r="AL235" s="43"/>
      <c r="AM235" s="43"/>
    </row>
    <row r="236" spans="1:39" ht="13.15">
      <c r="A236" s="41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W236" s="43"/>
      <c r="X236" s="43"/>
      <c r="Y236" s="43"/>
      <c r="AL236" s="43"/>
      <c r="AM236" s="43"/>
    </row>
    <row r="237" spans="1:39" ht="13.15">
      <c r="A237" s="41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W237" s="43"/>
      <c r="X237" s="43"/>
      <c r="Y237" s="43"/>
      <c r="AL237" s="43"/>
      <c r="AM237" s="43"/>
    </row>
    <row r="238" spans="1:39" ht="13.15">
      <c r="A238" s="41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W238" s="43"/>
      <c r="X238" s="43"/>
      <c r="Y238" s="43"/>
      <c r="AL238" s="43"/>
      <c r="AM238" s="43"/>
    </row>
    <row r="239" spans="1:39" ht="13.15">
      <c r="A239" s="41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W239" s="43"/>
      <c r="X239" s="43"/>
      <c r="Y239" s="43"/>
      <c r="AL239" s="43"/>
      <c r="AM239" s="43"/>
    </row>
    <row r="240" spans="1:39" ht="13.15">
      <c r="A240" s="41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W240" s="43"/>
      <c r="X240" s="43"/>
      <c r="Y240" s="43"/>
      <c r="AL240" s="43"/>
      <c r="AM240" s="43"/>
    </row>
    <row r="241" spans="1:39" ht="13.15">
      <c r="A241" s="41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W241" s="43"/>
      <c r="X241" s="43"/>
      <c r="Y241" s="43"/>
      <c r="AL241" s="43"/>
      <c r="AM241" s="43"/>
    </row>
    <row r="242" spans="1:39" ht="13.15">
      <c r="A242" s="41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W242" s="43"/>
      <c r="X242" s="43"/>
      <c r="Y242" s="43"/>
      <c r="AL242" s="43"/>
      <c r="AM242" s="43"/>
    </row>
    <row r="243" spans="1:39" ht="13.15">
      <c r="A243" s="41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W243" s="43"/>
      <c r="X243" s="43"/>
      <c r="Y243" s="43"/>
      <c r="AL243" s="43"/>
      <c r="AM243" s="43"/>
    </row>
    <row r="244" spans="1:39" ht="13.15">
      <c r="A244" s="41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W244" s="43"/>
      <c r="X244" s="43"/>
      <c r="Y244" s="43"/>
      <c r="AL244" s="43"/>
      <c r="AM244" s="43"/>
    </row>
    <row r="245" spans="1:39" ht="13.15">
      <c r="A245" s="41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W245" s="43"/>
      <c r="X245" s="43"/>
      <c r="Y245" s="43"/>
      <c r="AL245" s="43"/>
      <c r="AM245" s="43"/>
    </row>
    <row r="246" spans="1:39" ht="13.15">
      <c r="A246" s="41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W246" s="43"/>
      <c r="X246" s="43"/>
      <c r="Y246" s="43"/>
      <c r="AL246" s="43"/>
      <c r="AM246" s="43"/>
    </row>
    <row r="247" spans="1:39" ht="13.15">
      <c r="A247" s="41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W247" s="43"/>
      <c r="X247" s="43"/>
      <c r="Y247" s="43"/>
      <c r="AL247" s="43"/>
      <c r="AM247" s="43"/>
    </row>
    <row r="248" spans="1:39" ht="13.15">
      <c r="A248" s="41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W248" s="43"/>
      <c r="X248" s="43"/>
      <c r="Y248" s="43"/>
      <c r="AL248" s="43"/>
      <c r="AM248" s="43"/>
    </row>
    <row r="249" spans="1:39" ht="13.15">
      <c r="A249" s="41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W249" s="43"/>
      <c r="X249" s="43"/>
      <c r="Y249" s="43"/>
      <c r="AL249" s="43"/>
      <c r="AM249" s="43"/>
    </row>
    <row r="250" spans="1:39" ht="13.15">
      <c r="A250" s="41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W250" s="43"/>
      <c r="X250" s="43"/>
      <c r="Y250" s="43"/>
      <c r="AL250" s="43"/>
      <c r="AM250" s="43"/>
    </row>
    <row r="251" spans="1:39" ht="13.15">
      <c r="A251" s="41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W251" s="43"/>
      <c r="X251" s="43"/>
      <c r="Y251" s="43"/>
      <c r="AL251" s="43"/>
      <c r="AM251" s="43"/>
    </row>
    <row r="252" spans="1:39" ht="13.15">
      <c r="A252" s="41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W252" s="43"/>
      <c r="X252" s="43"/>
      <c r="Y252" s="43"/>
      <c r="AL252" s="43"/>
      <c r="AM252" s="43"/>
    </row>
    <row r="253" spans="1:39" ht="13.15">
      <c r="A253" s="41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W253" s="43"/>
      <c r="X253" s="43"/>
      <c r="Y253" s="43"/>
      <c r="AL253" s="43"/>
      <c r="AM253" s="43"/>
    </row>
    <row r="254" spans="1:39" ht="13.15">
      <c r="A254" s="41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W254" s="43"/>
      <c r="X254" s="43"/>
      <c r="Y254" s="43"/>
      <c r="AL254" s="43"/>
      <c r="AM254" s="43"/>
    </row>
    <row r="255" spans="1:39" ht="13.15">
      <c r="A255" s="41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W255" s="43"/>
      <c r="X255" s="43"/>
      <c r="Y255" s="43"/>
      <c r="AL255" s="43"/>
      <c r="AM255" s="43"/>
    </row>
    <row r="256" spans="1:39" ht="13.15">
      <c r="A256" s="41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W256" s="43"/>
      <c r="X256" s="43"/>
      <c r="Y256" s="43"/>
      <c r="AL256" s="43"/>
      <c r="AM256" s="43"/>
    </row>
    <row r="257" spans="1:39" ht="13.15">
      <c r="A257" s="41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W257" s="43"/>
      <c r="X257" s="43"/>
      <c r="Y257" s="43"/>
      <c r="AL257" s="43"/>
      <c r="AM257" s="43"/>
    </row>
    <row r="258" spans="1:39" ht="13.15">
      <c r="A258" s="41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W258" s="43"/>
      <c r="X258" s="43"/>
      <c r="Y258" s="43"/>
      <c r="AL258" s="43"/>
      <c r="AM258" s="43"/>
    </row>
    <row r="259" spans="1:39" ht="13.15">
      <c r="A259" s="41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W259" s="43"/>
      <c r="X259" s="43"/>
      <c r="Y259" s="43"/>
      <c r="AL259" s="43"/>
      <c r="AM259" s="43"/>
    </row>
    <row r="260" spans="1:39" ht="13.15">
      <c r="A260" s="41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W260" s="43"/>
      <c r="X260" s="43"/>
      <c r="Y260" s="43"/>
      <c r="AL260" s="43"/>
      <c r="AM260" s="43"/>
    </row>
    <row r="261" spans="1:39" ht="13.15">
      <c r="A261" s="41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W261" s="43"/>
      <c r="X261" s="43"/>
      <c r="Y261" s="43"/>
      <c r="AL261" s="43"/>
      <c r="AM261" s="43"/>
    </row>
    <row r="262" spans="1:39" ht="13.15">
      <c r="A262" s="41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W262" s="43"/>
      <c r="X262" s="43"/>
      <c r="Y262" s="43"/>
      <c r="AL262" s="43"/>
      <c r="AM262" s="43"/>
    </row>
    <row r="263" spans="1:39" ht="13.15">
      <c r="A263" s="41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W263" s="43"/>
      <c r="X263" s="43"/>
      <c r="Y263" s="43"/>
      <c r="AL263" s="43"/>
      <c r="AM263" s="43"/>
    </row>
    <row r="264" spans="1:39" ht="13.15">
      <c r="A264" s="41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W264" s="43"/>
      <c r="X264" s="43"/>
      <c r="Y264" s="43"/>
      <c r="AL264" s="43"/>
      <c r="AM264" s="43"/>
    </row>
    <row r="265" spans="1:39" ht="13.15">
      <c r="A265" s="41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W265" s="43"/>
      <c r="X265" s="43"/>
      <c r="Y265" s="43"/>
      <c r="AL265" s="43"/>
      <c r="AM265" s="43"/>
    </row>
    <row r="266" spans="1:39" ht="13.15">
      <c r="A266" s="41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W266" s="43"/>
      <c r="X266" s="43"/>
      <c r="Y266" s="43"/>
      <c r="AL266" s="43"/>
      <c r="AM266" s="43"/>
    </row>
    <row r="267" spans="1:39" ht="13.15">
      <c r="A267" s="41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W267" s="43"/>
      <c r="X267" s="43"/>
      <c r="Y267" s="43"/>
      <c r="AL267" s="43"/>
      <c r="AM267" s="43"/>
    </row>
    <row r="268" spans="1:39" ht="13.15">
      <c r="A268" s="41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W268" s="43"/>
      <c r="X268" s="43"/>
      <c r="Y268" s="43"/>
      <c r="AL268" s="43"/>
      <c r="AM268" s="43"/>
    </row>
    <row r="269" spans="1:39" ht="13.15">
      <c r="A269" s="41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W269" s="43"/>
      <c r="X269" s="43"/>
      <c r="Y269" s="43"/>
      <c r="AL269" s="43"/>
      <c r="AM269" s="43"/>
    </row>
    <row r="270" spans="1:39" ht="13.15">
      <c r="A270" s="41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W270" s="43"/>
      <c r="X270" s="43"/>
      <c r="Y270" s="43"/>
      <c r="AL270" s="43"/>
      <c r="AM270" s="43"/>
    </row>
    <row r="271" spans="1:39" ht="13.15">
      <c r="A271" s="41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W271" s="43"/>
      <c r="X271" s="43"/>
      <c r="Y271" s="43"/>
      <c r="AL271" s="43"/>
      <c r="AM271" s="43"/>
    </row>
    <row r="272" spans="1:39" ht="13.15">
      <c r="A272" s="41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W272" s="43"/>
      <c r="X272" s="43"/>
      <c r="Y272" s="43"/>
      <c r="AL272" s="43"/>
      <c r="AM272" s="43"/>
    </row>
    <row r="273" spans="1:39" ht="13.15">
      <c r="A273" s="41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W273" s="43"/>
      <c r="X273" s="43"/>
      <c r="Y273" s="43"/>
      <c r="AL273" s="43"/>
      <c r="AM273" s="43"/>
    </row>
    <row r="274" spans="1:39" ht="13.15">
      <c r="A274" s="41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W274" s="43"/>
      <c r="X274" s="43"/>
      <c r="Y274" s="43"/>
      <c r="AL274" s="43"/>
      <c r="AM274" s="43"/>
    </row>
    <row r="275" spans="1:39" ht="13.15">
      <c r="A275" s="41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W275" s="43"/>
      <c r="X275" s="43"/>
      <c r="Y275" s="43"/>
      <c r="AL275" s="43"/>
      <c r="AM275" s="43"/>
    </row>
    <row r="276" spans="1:39" ht="13.15">
      <c r="A276" s="41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W276" s="43"/>
      <c r="X276" s="43"/>
      <c r="Y276" s="43"/>
      <c r="AL276" s="43"/>
      <c r="AM276" s="43"/>
    </row>
    <row r="277" spans="1:39" ht="13.15">
      <c r="A277" s="41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W277" s="43"/>
      <c r="X277" s="43"/>
      <c r="Y277" s="43"/>
      <c r="AL277" s="43"/>
      <c r="AM277" s="43"/>
    </row>
    <row r="278" spans="1:39" ht="13.15">
      <c r="A278" s="41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W278" s="43"/>
      <c r="X278" s="43"/>
      <c r="Y278" s="43"/>
      <c r="AL278" s="43"/>
      <c r="AM278" s="43"/>
    </row>
    <row r="279" spans="1:39" ht="13.15">
      <c r="A279" s="41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W279" s="43"/>
      <c r="X279" s="43"/>
      <c r="Y279" s="43"/>
      <c r="AL279" s="43"/>
      <c r="AM279" s="43"/>
    </row>
    <row r="280" spans="1:39" ht="13.15">
      <c r="A280" s="41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W280" s="43"/>
      <c r="X280" s="43"/>
      <c r="Y280" s="43"/>
      <c r="AL280" s="43"/>
      <c r="AM280" s="43"/>
    </row>
    <row r="281" spans="1:39" ht="13.15">
      <c r="A281" s="41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W281" s="43"/>
      <c r="X281" s="43"/>
      <c r="Y281" s="43"/>
      <c r="AL281" s="43"/>
      <c r="AM281" s="43"/>
    </row>
    <row r="282" spans="1:39" ht="13.15">
      <c r="A282" s="41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W282" s="43"/>
      <c r="X282" s="43"/>
      <c r="Y282" s="43"/>
      <c r="AL282" s="43"/>
      <c r="AM282" s="43"/>
    </row>
    <row r="283" spans="1:39" ht="13.15">
      <c r="A283" s="41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W283" s="43"/>
      <c r="X283" s="43"/>
      <c r="Y283" s="43"/>
      <c r="AL283" s="43"/>
      <c r="AM283" s="43"/>
    </row>
    <row r="284" spans="1:39" ht="13.15">
      <c r="A284" s="41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W284" s="43"/>
      <c r="X284" s="43"/>
      <c r="Y284" s="43"/>
      <c r="AL284" s="43"/>
      <c r="AM284" s="43"/>
    </row>
    <row r="285" spans="1:39" ht="13.15">
      <c r="A285" s="41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W285" s="43"/>
      <c r="X285" s="43"/>
      <c r="Y285" s="43"/>
      <c r="AL285" s="43"/>
      <c r="AM285" s="43"/>
    </row>
    <row r="286" spans="1:39" ht="13.15">
      <c r="A286" s="41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W286" s="43"/>
      <c r="X286" s="43"/>
      <c r="Y286" s="43"/>
      <c r="AL286" s="43"/>
      <c r="AM286" s="43"/>
    </row>
    <row r="287" spans="1:39" ht="13.15">
      <c r="A287" s="41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W287" s="43"/>
      <c r="X287" s="43"/>
      <c r="Y287" s="43"/>
      <c r="AL287" s="43"/>
      <c r="AM287" s="43"/>
    </row>
    <row r="288" spans="1:39" ht="13.15">
      <c r="A288" s="41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W288" s="43"/>
      <c r="X288" s="43"/>
      <c r="Y288" s="43"/>
      <c r="AL288" s="43"/>
      <c r="AM288" s="43"/>
    </row>
    <row r="289" spans="1:39" ht="13.15">
      <c r="A289" s="41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W289" s="43"/>
      <c r="X289" s="43"/>
      <c r="Y289" s="43"/>
      <c r="AL289" s="43"/>
      <c r="AM289" s="43"/>
    </row>
    <row r="290" spans="1:39" ht="13.15">
      <c r="A290" s="41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W290" s="43"/>
      <c r="X290" s="43"/>
      <c r="Y290" s="43"/>
      <c r="AL290" s="43"/>
      <c r="AM290" s="43"/>
    </row>
    <row r="291" spans="1:39" ht="13.15">
      <c r="A291" s="41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W291" s="43"/>
      <c r="X291" s="43"/>
      <c r="Y291" s="43"/>
      <c r="AL291" s="43"/>
      <c r="AM291" s="43"/>
    </row>
    <row r="292" spans="1:39" ht="13.15">
      <c r="A292" s="41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W292" s="43"/>
      <c r="X292" s="43"/>
      <c r="Y292" s="43"/>
      <c r="AL292" s="43"/>
      <c r="AM292" s="43"/>
    </row>
    <row r="293" spans="1:39" ht="13.15">
      <c r="A293" s="41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W293" s="43"/>
      <c r="X293" s="43"/>
      <c r="Y293" s="43"/>
      <c r="AL293" s="43"/>
      <c r="AM293" s="43"/>
    </row>
    <row r="294" spans="1:39" ht="13.15">
      <c r="A294" s="41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W294" s="43"/>
      <c r="X294" s="43"/>
      <c r="Y294" s="43"/>
      <c r="AL294" s="43"/>
      <c r="AM294" s="43"/>
    </row>
    <row r="295" spans="1:39" ht="13.15">
      <c r="A295" s="41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W295" s="43"/>
      <c r="X295" s="43"/>
      <c r="Y295" s="43"/>
      <c r="AL295" s="43"/>
      <c r="AM295" s="43"/>
    </row>
    <row r="296" spans="1:39" ht="13.15">
      <c r="A296" s="41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W296" s="43"/>
      <c r="X296" s="43"/>
      <c r="Y296" s="43"/>
      <c r="AL296" s="43"/>
      <c r="AM296" s="43"/>
    </row>
    <row r="297" spans="1:39" ht="13.15">
      <c r="A297" s="41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W297" s="43"/>
      <c r="X297" s="43"/>
      <c r="Y297" s="43"/>
      <c r="AL297" s="43"/>
      <c r="AM297" s="43"/>
    </row>
    <row r="298" spans="1:39" ht="13.15">
      <c r="A298" s="41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W298" s="43"/>
      <c r="X298" s="43"/>
      <c r="Y298" s="43"/>
      <c r="AL298" s="43"/>
      <c r="AM298" s="43"/>
    </row>
    <row r="299" spans="1:39" ht="13.15">
      <c r="A299" s="41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W299" s="43"/>
      <c r="X299" s="43"/>
      <c r="Y299" s="43"/>
      <c r="AL299" s="43"/>
      <c r="AM299" s="43"/>
    </row>
    <row r="300" spans="1:39" ht="13.15">
      <c r="A300" s="41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W300" s="43"/>
      <c r="X300" s="43"/>
      <c r="Y300" s="43"/>
      <c r="AL300" s="43"/>
      <c r="AM300" s="43"/>
    </row>
    <row r="301" spans="1:39" ht="13.15">
      <c r="A301" s="41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W301" s="43"/>
      <c r="X301" s="43"/>
      <c r="Y301" s="43"/>
      <c r="AL301" s="43"/>
      <c r="AM301" s="43"/>
    </row>
    <row r="302" spans="1:39" ht="13.15">
      <c r="A302" s="41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W302" s="43"/>
      <c r="X302" s="43"/>
      <c r="Y302" s="43"/>
      <c r="AL302" s="43"/>
      <c r="AM302" s="43"/>
    </row>
    <row r="303" spans="1:39" ht="13.15">
      <c r="A303" s="41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W303" s="43"/>
      <c r="X303" s="43"/>
      <c r="Y303" s="43"/>
      <c r="AL303" s="43"/>
      <c r="AM303" s="43"/>
    </row>
    <row r="304" spans="1:39" ht="13.15">
      <c r="A304" s="41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W304" s="43"/>
      <c r="X304" s="43"/>
      <c r="Y304" s="43"/>
      <c r="AL304" s="43"/>
      <c r="AM304" s="43"/>
    </row>
    <row r="305" spans="1:39" ht="13.15">
      <c r="A305" s="41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W305" s="43"/>
      <c r="X305" s="43"/>
      <c r="Y305" s="43"/>
      <c r="AL305" s="43"/>
      <c r="AM305" s="43"/>
    </row>
    <row r="306" spans="1:39" ht="13.15">
      <c r="A306" s="41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W306" s="43"/>
      <c r="X306" s="43"/>
      <c r="Y306" s="43"/>
      <c r="AL306" s="43"/>
      <c r="AM306" s="43"/>
    </row>
    <row r="307" spans="1:39" ht="13.15">
      <c r="A307" s="41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W307" s="43"/>
      <c r="X307" s="43"/>
      <c r="Y307" s="43"/>
      <c r="AL307" s="43"/>
      <c r="AM307" s="43"/>
    </row>
    <row r="308" spans="1:39" ht="13.15">
      <c r="A308" s="41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W308" s="43"/>
      <c r="X308" s="43"/>
      <c r="Y308" s="43"/>
      <c r="AL308" s="43"/>
      <c r="AM308" s="43"/>
    </row>
    <row r="309" spans="1:39" ht="13.15">
      <c r="A309" s="41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W309" s="43"/>
      <c r="X309" s="43"/>
      <c r="Y309" s="43"/>
      <c r="AL309" s="43"/>
      <c r="AM309" s="43"/>
    </row>
    <row r="310" spans="1:39" ht="13.15">
      <c r="A310" s="41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W310" s="43"/>
      <c r="X310" s="43"/>
      <c r="Y310" s="43"/>
      <c r="AL310" s="43"/>
      <c r="AM310" s="43"/>
    </row>
    <row r="311" spans="1:39" ht="13.15">
      <c r="A311" s="41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W311" s="43"/>
      <c r="X311" s="43"/>
      <c r="Y311" s="43"/>
      <c r="AL311" s="43"/>
      <c r="AM311" s="43"/>
    </row>
    <row r="312" spans="1:39" ht="13.15">
      <c r="A312" s="41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W312" s="43"/>
      <c r="X312" s="43"/>
      <c r="Y312" s="43"/>
      <c r="AL312" s="43"/>
      <c r="AM312" s="43"/>
    </row>
    <row r="313" spans="1:39" ht="13.15">
      <c r="A313" s="41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W313" s="43"/>
      <c r="X313" s="43"/>
      <c r="Y313" s="43"/>
      <c r="AL313" s="43"/>
      <c r="AM313" s="43"/>
    </row>
    <row r="314" spans="1:39" ht="13.15">
      <c r="A314" s="41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W314" s="43"/>
      <c r="X314" s="43"/>
      <c r="Y314" s="43"/>
      <c r="AL314" s="43"/>
      <c r="AM314" s="43"/>
    </row>
    <row r="315" spans="1:39" ht="13.15">
      <c r="A315" s="41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W315" s="43"/>
      <c r="X315" s="43"/>
      <c r="Y315" s="43"/>
      <c r="AL315" s="43"/>
      <c r="AM315" s="43"/>
    </row>
    <row r="316" spans="1:39" ht="13.15">
      <c r="A316" s="41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W316" s="43"/>
      <c r="X316" s="43"/>
      <c r="Y316" s="43"/>
      <c r="AL316" s="43"/>
      <c r="AM316" s="43"/>
    </row>
    <row r="317" spans="1:39" ht="13.15">
      <c r="A317" s="41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W317" s="43"/>
      <c r="X317" s="43"/>
      <c r="Y317" s="43"/>
      <c r="AL317" s="43"/>
      <c r="AM317" s="43"/>
    </row>
    <row r="318" spans="1:39" ht="13.15">
      <c r="A318" s="41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W318" s="43"/>
      <c r="X318" s="43"/>
      <c r="Y318" s="43"/>
      <c r="AL318" s="43"/>
      <c r="AM318" s="43"/>
    </row>
    <row r="319" spans="1:39" ht="13.15">
      <c r="A319" s="41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W319" s="43"/>
      <c r="X319" s="43"/>
      <c r="Y319" s="43"/>
      <c r="AL319" s="43"/>
      <c r="AM319" s="43"/>
    </row>
    <row r="320" spans="1:39" ht="13.15">
      <c r="A320" s="41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W320" s="43"/>
      <c r="X320" s="43"/>
      <c r="Y320" s="43"/>
      <c r="AL320" s="43"/>
      <c r="AM320" s="43"/>
    </row>
    <row r="321" spans="1:39" ht="13.15">
      <c r="A321" s="41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W321" s="43"/>
      <c r="X321" s="43"/>
      <c r="Y321" s="43"/>
      <c r="AL321" s="43"/>
      <c r="AM321" s="43"/>
    </row>
    <row r="322" spans="1:39" ht="13.15">
      <c r="A322" s="41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W322" s="43"/>
      <c r="X322" s="43"/>
      <c r="Y322" s="43"/>
      <c r="AL322" s="43"/>
      <c r="AM322" s="43"/>
    </row>
    <row r="323" spans="1:39" ht="13.15">
      <c r="A323" s="41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W323" s="43"/>
      <c r="X323" s="43"/>
      <c r="Y323" s="43"/>
      <c r="AL323" s="43"/>
      <c r="AM323" s="43"/>
    </row>
    <row r="324" spans="1:39" ht="13.15">
      <c r="A324" s="41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W324" s="43"/>
      <c r="X324" s="43"/>
      <c r="Y324" s="43"/>
      <c r="AL324" s="43"/>
      <c r="AM324" s="43"/>
    </row>
    <row r="325" spans="1:39" ht="13.15">
      <c r="A325" s="41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W325" s="43"/>
      <c r="X325" s="43"/>
      <c r="Y325" s="43"/>
      <c r="AL325" s="43"/>
      <c r="AM325" s="43"/>
    </row>
    <row r="326" spans="1:39" ht="13.15">
      <c r="A326" s="41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W326" s="43"/>
      <c r="X326" s="43"/>
      <c r="Y326" s="43"/>
      <c r="AL326" s="43"/>
      <c r="AM326" s="43"/>
    </row>
    <row r="327" spans="1:39" ht="13.15">
      <c r="A327" s="41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W327" s="43"/>
      <c r="X327" s="43"/>
      <c r="Y327" s="43"/>
      <c r="AL327" s="43"/>
      <c r="AM327" s="43"/>
    </row>
    <row r="328" spans="1:39" ht="13.15">
      <c r="A328" s="41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W328" s="43"/>
      <c r="X328" s="43"/>
      <c r="Y328" s="43"/>
      <c r="AL328" s="43"/>
      <c r="AM328" s="43"/>
    </row>
    <row r="329" spans="1:39" ht="13.15">
      <c r="A329" s="41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W329" s="43"/>
      <c r="X329" s="43"/>
      <c r="Y329" s="43"/>
      <c r="AL329" s="43"/>
      <c r="AM329" s="43"/>
    </row>
    <row r="330" spans="1:39" ht="13.15">
      <c r="A330" s="41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W330" s="43"/>
      <c r="X330" s="43"/>
      <c r="Y330" s="43"/>
      <c r="AL330" s="43"/>
      <c r="AM330" s="43"/>
    </row>
    <row r="331" spans="1:39" ht="13.15">
      <c r="A331" s="41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W331" s="43"/>
      <c r="X331" s="43"/>
      <c r="Y331" s="43"/>
      <c r="AL331" s="43"/>
      <c r="AM331" s="43"/>
    </row>
    <row r="332" spans="1:39" ht="13.15">
      <c r="A332" s="41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W332" s="43"/>
      <c r="X332" s="43"/>
      <c r="Y332" s="43"/>
      <c r="AL332" s="43"/>
      <c r="AM332" s="43"/>
    </row>
    <row r="333" spans="1:39" ht="13.15">
      <c r="A333" s="41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W333" s="43"/>
      <c r="X333" s="43"/>
      <c r="Y333" s="43"/>
      <c r="AL333" s="43"/>
      <c r="AM333" s="43"/>
    </row>
    <row r="334" spans="1:39" ht="13.15">
      <c r="A334" s="41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W334" s="43"/>
      <c r="X334" s="43"/>
      <c r="Y334" s="43"/>
      <c r="AL334" s="43"/>
      <c r="AM334" s="43"/>
    </row>
    <row r="335" spans="1:39" ht="13.15">
      <c r="A335" s="41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W335" s="43"/>
      <c r="X335" s="43"/>
      <c r="Y335" s="43"/>
      <c r="AL335" s="43"/>
      <c r="AM335" s="43"/>
    </row>
    <row r="336" spans="1:39" ht="13.15">
      <c r="A336" s="41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W336" s="43"/>
      <c r="X336" s="43"/>
      <c r="Y336" s="43"/>
      <c r="AL336" s="43"/>
      <c r="AM336" s="43"/>
    </row>
    <row r="337" spans="1:39" ht="13.15">
      <c r="A337" s="41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W337" s="43"/>
      <c r="X337" s="43"/>
      <c r="Y337" s="43"/>
      <c r="AL337" s="43"/>
      <c r="AM337" s="43"/>
    </row>
    <row r="338" spans="1:39" ht="13.15">
      <c r="A338" s="41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W338" s="43"/>
      <c r="X338" s="43"/>
      <c r="Y338" s="43"/>
      <c r="AL338" s="43"/>
      <c r="AM338" s="43"/>
    </row>
    <row r="339" spans="1:39" ht="13.15">
      <c r="A339" s="41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W339" s="43"/>
      <c r="X339" s="43"/>
      <c r="Y339" s="43"/>
      <c r="AL339" s="43"/>
      <c r="AM339" s="43"/>
    </row>
    <row r="340" spans="1:39" ht="13.15">
      <c r="A340" s="41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W340" s="43"/>
      <c r="X340" s="43"/>
      <c r="Y340" s="43"/>
      <c r="AL340" s="43"/>
      <c r="AM340" s="43"/>
    </row>
    <row r="341" spans="1:39" ht="13.15">
      <c r="A341" s="41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W341" s="43"/>
      <c r="X341" s="43"/>
      <c r="Y341" s="43"/>
      <c r="AL341" s="43"/>
      <c r="AM341" s="43"/>
    </row>
    <row r="342" spans="1:39" ht="13.15">
      <c r="A342" s="41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W342" s="43"/>
      <c r="X342" s="43"/>
      <c r="Y342" s="43"/>
      <c r="AL342" s="43"/>
      <c r="AM342" s="43"/>
    </row>
    <row r="343" spans="1:39" ht="13.15">
      <c r="A343" s="41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W343" s="43"/>
      <c r="X343" s="43"/>
      <c r="Y343" s="43"/>
      <c r="AL343" s="43"/>
      <c r="AM343" s="43"/>
    </row>
    <row r="344" spans="1:39" ht="13.15">
      <c r="A344" s="41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W344" s="43"/>
      <c r="X344" s="43"/>
      <c r="Y344" s="43"/>
      <c r="AL344" s="43"/>
      <c r="AM344" s="43"/>
    </row>
    <row r="345" spans="1:39" ht="13.15">
      <c r="A345" s="41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W345" s="43"/>
      <c r="X345" s="43"/>
      <c r="Y345" s="43"/>
      <c r="AL345" s="43"/>
      <c r="AM345" s="43"/>
    </row>
    <row r="346" spans="1:39" ht="13.15">
      <c r="A346" s="41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W346" s="43"/>
      <c r="X346" s="43"/>
      <c r="Y346" s="43"/>
      <c r="AL346" s="43"/>
      <c r="AM346" s="43"/>
    </row>
    <row r="347" spans="1:39" ht="13.15">
      <c r="A347" s="41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W347" s="43"/>
      <c r="X347" s="43"/>
      <c r="Y347" s="43"/>
      <c r="AL347" s="43"/>
      <c r="AM347" s="43"/>
    </row>
    <row r="348" spans="1:39" ht="13.15">
      <c r="A348" s="41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W348" s="43"/>
      <c r="X348" s="43"/>
      <c r="Y348" s="43"/>
      <c r="AL348" s="43"/>
      <c r="AM348" s="43"/>
    </row>
    <row r="349" spans="1:39" ht="13.15">
      <c r="A349" s="41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W349" s="43"/>
      <c r="X349" s="43"/>
      <c r="Y349" s="43"/>
      <c r="AL349" s="43"/>
      <c r="AM349" s="43"/>
    </row>
    <row r="350" spans="1:39" ht="13.15">
      <c r="A350" s="41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W350" s="43"/>
      <c r="X350" s="43"/>
      <c r="Y350" s="43"/>
      <c r="AL350" s="43"/>
      <c r="AM350" s="43"/>
    </row>
    <row r="351" spans="1:39" ht="13.15">
      <c r="A351" s="41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W351" s="43"/>
      <c r="X351" s="43"/>
      <c r="Y351" s="43"/>
      <c r="AL351" s="43"/>
      <c r="AM351" s="43"/>
    </row>
    <row r="352" spans="1:39" ht="13.15">
      <c r="A352" s="41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W352" s="43"/>
      <c r="X352" s="43"/>
      <c r="Y352" s="43"/>
      <c r="AL352" s="43"/>
      <c r="AM352" s="43"/>
    </row>
    <row r="353" spans="1:39" ht="13.15">
      <c r="A353" s="41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W353" s="43"/>
      <c r="X353" s="43"/>
      <c r="Y353" s="43"/>
      <c r="AL353" s="43"/>
      <c r="AM353" s="43"/>
    </row>
    <row r="354" spans="1:39" ht="13.15">
      <c r="A354" s="41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W354" s="43"/>
      <c r="X354" s="43"/>
      <c r="Y354" s="43"/>
      <c r="AL354" s="43"/>
      <c r="AM354" s="43"/>
    </row>
    <row r="355" spans="1:39" ht="13.15">
      <c r="A355" s="41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W355" s="43"/>
      <c r="X355" s="43"/>
      <c r="Y355" s="43"/>
      <c r="AL355" s="43"/>
      <c r="AM355" s="43"/>
    </row>
    <row r="356" spans="1:39" ht="13.15">
      <c r="A356" s="41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W356" s="43"/>
      <c r="X356" s="43"/>
      <c r="Y356" s="43"/>
      <c r="AL356" s="43"/>
      <c r="AM356" s="43"/>
    </row>
    <row r="357" spans="1:39" ht="13.15">
      <c r="A357" s="41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W357" s="43"/>
      <c r="X357" s="43"/>
      <c r="Y357" s="43"/>
      <c r="AL357" s="43"/>
      <c r="AM357" s="43"/>
    </row>
    <row r="358" spans="1:39" ht="13.15">
      <c r="A358" s="41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W358" s="43"/>
      <c r="X358" s="43"/>
      <c r="Y358" s="43"/>
      <c r="AL358" s="43"/>
      <c r="AM358" s="43"/>
    </row>
    <row r="359" spans="1:39" ht="13.15">
      <c r="A359" s="41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W359" s="43"/>
      <c r="X359" s="43"/>
      <c r="Y359" s="43"/>
      <c r="AL359" s="43"/>
      <c r="AM359" s="43"/>
    </row>
    <row r="360" spans="1:39" ht="13.15">
      <c r="A360" s="41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W360" s="43"/>
      <c r="X360" s="43"/>
      <c r="Y360" s="43"/>
      <c r="AL360" s="43"/>
      <c r="AM360" s="43"/>
    </row>
    <row r="361" spans="1:39" ht="13.15">
      <c r="A361" s="41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W361" s="43"/>
      <c r="X361" s="43"/>
      <c r="Y361" s="43"/>
      <c r="AL361" s="43"/>
      <c r="AM361" s="43"/>
    </row>
    <row r="362" spans="1:39" ht="13.15">
      <c r="A362" s="41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W362" s="43"/>
      <c r="X362" s="43"/>
      <c r="Y362" s="43"/>
      <c r="AL362" s="43"/>
      <c r="AM362" s="43"/>
    </row>
    <row r="363" spans="1:39" ht="13.15">
      <c r="A363" s="41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W363" s="43"/>
      <c r="X363" s="43"/>
      <c r="Y363" s="43"/>
      <c r="AL363" s="43"/>
      <c r="AM363" s="43"/>
    </row>
    <row r="364" spans="1:39" ht="13.15">
      <c r="A364" s="41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W364" s="43"/>
      <c r="X364" s="43"/>
      <c r="Y364" s="43"/>
      <c r="AL364" s="43"/>
      <c r="AM364" s="43"/>
    </row>
    <row r="365" spans="1:39" ht="13.15">
      <c r="A365" s="41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W365" s="43"/>
      <c r="X365" s="43"/>
      <c r="Y365" s="43"/>
      <c r="AL365" s="43"/>
      <c r="AM365" s="43"/>
    </row>
    <row r="366" spans="1:39" ht="13.15">
      <c r="A366" s="41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W366" s="43"/>
      <c r="X366" s="43"/>
      <c r="Y366" s="43"/>
      <c r="AL366" s="43"/>
      <c r="AM366" s="43"/>
    </row>
    <row r="367" spans="1:39" ht="13.15">
      <c r="A367" s="41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W367" s="43"/>
      <c r="X367" s="43"/>
      <c r="Y367" s="43"/>
      <c r="AL367" s="43"/>
      <c r="AM367" s="43"/>
    </row>
    <row r="368" spans="1:39" ht="13.15">
      <c r="A368" s="41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W368" s="43"/>
      <c r="X368" s="43"/>
      <c r="Y368" s="43"/>
      <c r="AL368" s="43"/>
      <c r="AM368" s="43"/>
    </row>
    <row r="369" spans="1:39" ht="13.15">
      <c r="A369" s="41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W369" s="43"/>
      <c r="X369" s="43"/>
      <c r="Y369" s="43"/>
      <c r="AL369" s="43"/>
      <c r="AM369" s="43"/>
    </row>
    <row r="370" spans="1:39" ht="13.15">
      <c r="A370" s="41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W370" s="43"/>
      <c r="X370" s="43"/>
      <c r="Y370" s="43"/>
      <c r="AL370" s="43"/>
      <c r="AM370" s="43"/>
    </row>
    <row r="371" spans="1:39" ht="13.15">
      <c r="A371" s="41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W371" s="43"/>
      <c r="X371" s="43"/>
      <c r="Y371" s="43"/>
      <c r="AL371" s="43"/>
      <c r="AM371" s="43"/>
    </row>
    <row r="372" spans="1:39" ht="13.15">
      <c r="A372" s="41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W372" s="43"/>
      <c r="X372" s="43"/>
      <c r="Y372" s="43"/>
      <c r="AL372" s="43"/>
      <c r="AM372" s="43"/>
    </row>
    <row r="373" spans="1:39" ht="13.15">
      <c r="A373" s="41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W373" s="43"/>
      <c r="X373" s="43"/>
      <c r="Y373" s="43"/>
      <c r="AL373" s="43"/>
      <c r="AM373" s="43"/>
    </row>
    <row r="374" spans="1:39" ht="13.15">
      <c r="A374" s="41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W374" s="43"/>
      <c r="X374" s="43"/>
      <c r="Y374" s="43"/>
      <c r="AL374" s="43"/>
      <c r="AM374" s="43"/>
    </row>
    <row r="375" spans="1:39" ht="13.15">
      <c r="A375" s="41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W375" s="43"/>
      <c r="X375" s="43"/>
      <c r="Y375" s="43"/>
      <c r="AL375" s="43"/>
      <c r="AM375" s="43"/>
    </row>
    <row r="376" spans="1:39" ht="13.15">
      <c r="A376" s="41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W376" s="43"/>
      <c r="X376" s="43"/>
      <c r="Y376" s="43"/>
      <c r="AL376" s="43"/>
      <c r="AM376" s="43"/>
    </row>
    <row r="377" spans="1:39" ht="13.15">
      <c r="A377" s="41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W377" s="43"/>
      <c r="X377" s="43"/>
      <c r="Y377" s="43"/>
      <c r="AL377" s="43"/>
      <c r="AM377" s="43"/>
    </row>
    <row r="378" spans="1:39" ht="13.15">
      <c r="A378" s="41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W378" s="43"/>
      <c r="X378" s="43"/>
      <c r="Y378" s="43"/>
      <c r="AL378" s="43"/>
      <c r="AM378" s="43"/>
    </row>
    <row r="379" spans="1:39" ht="13.15">
      <c r="A379" s="41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W379" s="43"/>
      <c r="X379" s="43"/>
      <c r="Y379" s="43"/>
      <c r="AL379" s="43"/>
      <c r="AM379" s="43"/>
    </row>
    <row r="380" spans="1:39" ht="13.15">
      <c r="A380" s="41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W380" s="43"/>
      <c r="X380" s="43"/>
      <c r="Y380" s="43"/>
      <c r="AL380" s="43"/>
      <c r="AM380" s="43"/>
    </row>
    <row r="381" spans="1:39" ht="13.15">
      <c r="A381" s="41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W381" s="43"/>
      <c r="X381" s="43"/>
      <c r="Y381" s="43"/>
      <c r="AL381" s="43"/>
      <c r="AM381" s="43"/>
    </row>
    <row r="382" spans="1:39" ht="13.15">
      <c r="A382" s="41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W382" s="43"/>
      <c r="X382" s="43"/>
      <c r="Y382" s="43"/>
      <c r="AL382" s="43"/>
      <c r="AM382" s="43"/>
    </row>
    <row r="383" spans="1:39" ht="13.15">
      <c r="A383" s="41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W383" s="43"/>
      <c r="X383" s="43"/>
      <c r="Y383" s="43"/>
      <c r="AL383" s="43"/>
      <c r="AM383" s="43"/>
    </row>
    <row r="384" spans="1:39" ht="13.15">
      <c r="A384" s="41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W384" s="43"/>
      <c r="X384" s="43"/>
      <c r="Y384" s="43"/>
      <c r="AL384" s="43"/>
      <c r="AM384" s="43"/>
    </row>
    <row r="385" spans="1:39" ht="13.15">
      <c r="A385" s="41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W385" s="43"/>
      <c r="X385" s="43"/>
      <c r="Y385" s="43"/>
      <c r="AL385" s="43"/>
      <c r="AM385" s="43"/>
    </row>
    <row r="386" spans="1:39" ht="13.15">
      <c r="A386" s="41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W386" s="43"/>
      <c r="X386" s="43"/>
      <c r="Y386" s="43"/>
      <c r="AL386" s="43"/>
      <c r="AM386" s="43"/>
    </row>
    <row r="387" spans="1:39" ht="13.15">
      <c r="A387" s="41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W387" s="43"/>
      <c r="X387" s="43"/>
      <c r="Y387" s="43"/>
      <c r="AL387" s="43"/>
      <c r="AM387" s="43"/>
    </row>
    <row r="388" spans="1:39" ht="13.15">
      <c r="A388" s="41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W388" s="43"/>
      <c r="X388" s="43"/>
      <c r="Y388" s="43"/>
      <c r="AL388" s="43"/>
      <c r="AM388" s="43"/>
    </row>
    <row r="389" spans="1:39" ht="13.15">
      <c r="A389" s="41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W389" s="43"/>
      <c r="X389" s="43"/>
      <c r="Y389" s="43"/>
      <c r="AL389" s="43"/>
      <c r="AM389" s="43"/>
    </row>
    <row r="390" spans="1:39" ht="13.15">
      <c r="A390" s="41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W390" s="43"/>
      <c r="X390" s="43"/>
      <c r="Y390" s="43"/>
      <c r="AL390" s="43"/>
      <c r="AM390" s="43"/>
    </row>
    <row r="391" spans="1:39" ht="13.15">
      <c r="A391" s="41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W391" s="43"/>
      <c r="X391" s="43"/>
      <c r="Y391" s="43"/>
      <c r="AL391" s="43"/>
      <c r="AM391" s="43"/>
    </row>
    <row r="392" spans="1:39" ht="13.15">
      <c r="A392" s="41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W392" s="43"/>
      <c r="X392" s="43"/>
      <c r="Y392" s="43"/>
      <c r="AL392" s="43"/>
      <c r="AM392" s="43"/>
    </row>
    <row r="393" spans="1:39" ht="13.15">
      <c r="A393" s="41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W393" s="43"/>
      <c r="X393" s="43"/>
      <c r="Y393" s="43"/>
      <c r="AL393" s="43"/>
      <c r="AM393" s="43"/>
    </row>
    <row r="394" spans="1:39" ht="13.15">
      <c r="A394" s="41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W394" s="43"/>
      <c r="X394" s="43"/>
      <c r="Y394" s="43"/>
      <c r="AL394" s="43"/>
      <c r="AM394" s="43"/>
    </row>
    <row r="395" spans="1:39" ht="13.15">
      <c r="A395" s="41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W395" s="43"/>
      <c r="X395" s="43"/>
      <c r="Y395" s="43"/>
      <c r="AL395" s="43"/>
      <c r="AM395" s="43"/>
    </row>
    <row r="396" spans="1:39" ht="13.15">
      <c r="A396" s="41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W396" s="43"/>
      <c r="X396" s="43"/>
      <c r="Y396" s="43"/>
      <c r="AL396" s="43"/>
      <c r="AM396" s="43"/>
    </row>
    <row r="397" spans="1:39" ht="13.15">
      <c r="A397" s="41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W397" s="43"/>
      <c r="X397" s="43"/>
      <c r="Y397" s="43"/>
      <c r="AL397" s="43"/>
      <c r="AM397" s="43"/>
    </row>
    <row r="398" spans="1:39" ht="13.15">
      <c r="A398" s="41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W398" s="43"/>
      <c r="X398" s="43"/>
      <c r="Y398" s="43"/>
      <c r="AL398" s="43"/>
      <c r="AM398" s="43"/>
    </row>
    <row r="399" spans="1:39" ht="13.15">
      <c r="A399" s="41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W399" s="43"/>
      <c r="X399" s="43"/>
      <c r="Y399" s="43"/>
      <c r="AL399" s="43"/>
      <c r="AM399" s="43"/>
    </row>
    <row r="400" spans="1:39" ht="13.15">
      <c r="A400" s="41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W400" s="43"/>
      <c r="X400" s="43"/>
      <c r="Y400" s="43"/>
      <c r="AL400" s="43"/>
      <c r="AM400" s="43"/>
    </row>
    <row r="401" spans="1:39" ht="13.15">
      <c r="A401" s="41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W401" s="43"/>
      <c r="X401" s="43"/>
      <c r="Y401" s="43"/>
      <c r="AL401" s="43"/>
      <c r="AM401" s="43"/>
    </row>
    <row r="402" spans="1:39" ht="13.15">
      <c r="A402" s="41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W402" s="43"/>
      <c r="X402" s="43"/>
      <c r="Y402" s="43"/>
      <c r="AL402" s="43"/>
      <c r="AM402" s="43"/>
    </row>
    <row r="403" spans="1:39" ht="13.15">
      <c r="A403" s="41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W403" s="43"/>
      <c r="X403" s="43"/>
      <c r="Y403" s="43"/>
      <c r="AL403" s="43"/>
      <c r="AM403" s="43"/>
    </row>
    <row r="404" spans="1:39" ht="13.15">
      <c r="A404" s="41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W404" s="43"/>
      <c r="X404" s="43"/>
      <c r="Y404" s="43"/>
      <c r="AL404" s="43"/>
      <c r="AM404" s="43"/>
    </row>
    <row r="405" spans="1:39" ht="13.15">
      <c r="A405" s="41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W405" s="43"/>
      <c r="X405" s="43"/>
      <c r="Y405" s="43"/>
      <c r="AL405" s="43"/>
      <c r="AM405" s="43"/>
    </row>
    <row r="406" spans="1:39" ht="13.15">
      <c r="A406" s="41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W406" s="43"/>
      <c r="X406" s="43"/>
      <c r="Y406" s="43"/>
      <c r="AL406" s="43"/>
      <c r="AM406" s="43"/>
    </row>
    <row r="407" spans="1:39" ht="13.15">
      <c r="A407" s="41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W407" s="43"/>
      <c r="X407" s="43"/>
      <c r="Y407" s="43"/>
      <c r="AL407" s="43"/>
      <c r="AM407" s="43"/>
    </row>
    <row r="408" spans="1:39" ht="13.15">
      <c r="A408" s="41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W408" s="43"/>
      <c r="X408" s="43"/>
      <c r="Y408" s="43"/>
      <c r="AL408" s="43"/>
      <c r="AM408" s="43"/>
    </row>
    <row r="409" spans="1:39" ht="13.15">
      <c r="A409" s="41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W409" s="43"/>
      <c r="X409" s="43"/>
      <c r="Y409" s="43"/>
      <c r="AL409" s="43"/>
      <c r="AM409" s="43"/>
    </row>
    <row r="410" spans="1:39" ht="13.15">
      <c r="A410" s="41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W410" s="43"/>
      <c r="X410" s="43"/>
      <c r="Y410" s="43"/>
      <c r="AL410" s="43"/>
      <c r="AM410" s="43"/>
    </row>
    <row r="411" spans="1:39" ht="13.15">
      <c r="A411" s="41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W411" s="43"/>
      <c r="X411" s="43"/>
      <c r="Y411" s="43"/>
      <c r="AL411" s="43"/>
      <c r="AM411" s="43"/>
    </row>
    <row r="412" spans="1:39" ht="13.15">
      <c r="A412" s="41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W412" s="43"/>
      <c r="X412" s="43"/>
      <c r="Y412" s="43"/>
      <c r="AL412" s="43"/>
      <c r="AM412" s="43"/>
    </row>
    <row r="413" spans="1:39" ht="13.15">
      <c r="A413" s="41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W413" s="43"/>
      <c r="X413" s="43"/>
      <c r="Y413" s="43"/>
      <c r="AL413" s="43"/>
      <c r="AM413" s="43"/>
    </row>
    <row r="414" spans="1:39" ht="13.15">
      <c r="A414" s="41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W414" s="43"/>
      <c r="X414" s="43"/>
      <c r="Y414" s="43"/>
      <c r="AL414" s="43"/>
      <c r="AM414" s="43"/>
    </row>
    <row r="415" spans="1:39" ht="13.15">
      <c r="A415" s="41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W415" s="43"/>
      <c r="X415" s="43"/>
      <c r="Y415" s="43"/>
      <c r="AL415" s="43"/>
      <c r="AM415" s="43"/>
    </row>
    <row r="416" spans="1:39" ht="13.15">
      <c r="A416" s="41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W416" s="43"/>
      <c r="X416" s="43"/>
      <c r="Y416" s="43"/>
      <c r="AL416" s="43"/>
      <c r="AM416" s="43"/>
    </row>
    <row r="417" spans="1:39" ht="13.15">
      <c r="A417" s="41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W417" s="43"/>
      <c r="X417" s="43"/>
      <c r="Y417" s="43"/>
      <c r="AL417" s="43"/>
      <c r="AM417" s="43"/>
    </row>
    <row r="418" spans="1:39" ht="13.15">
      <c r="A418" s="41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W418" s="43"/>
      <c r="X418" s="43"/>
      <c r="Y418" s="43"/>
      <c r="AL418" s="43"/>
      <c r="AM418" s="43"/>
    </row>
    <row r="419" spans="1:39" ht="13.15">
      <c r="A419" s="41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W419" s="43"/>
      <c r="X419" s="43"/>
      <c r="Y419" s="43"/>
      <c r="AL419" s="43"/>
      <c r="AM419" s="43"/>
    </row>
    <row r="420" spans="1:39" ht="13.15">
      <c r="A420" s="41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W420" s="43"/>
      <c r="X420" s="43"/>
      <c r="Y420" s="43"/>
      <c r="AL420" s="43"/>
      <c r="AM420" s="43"/>
    </row>
    <row r="421" spans="1:39" ht="13.15">
      <c r="A421" s="41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W421" s="43"/>
      <c r="X421" s="43"/>
      <c r="Y421" s="43"/>
      <c r="AL421" s="43"/>
      <c r="AM421" s="43"/>
    </row>
    <row r="422" spans="1:39" ht="13.15">
      <c r="A422" s="41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W422" s="43"/>
      <c r="X422" s="43"/>
      <c r="Y422" s="43"/>
      <c r="AL422" s="43"/>
      <c r="AM422" s="43"/>
    </row>
    <row r="423" spans="1:39" ht="13.15">
      <c r="A423" s="41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W423" s="43"/>
      <c r="X423" s="43"/>
      <c r="Y423" s="43"/>
      <c r="AL423" s="43"/>
      <c r="AM423" s="43"/>
    </row>
    <row r="424" spans="1:39" ht="13.15">
      <c r="A424" s="41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W424" s="43"/>
      <c r="X424" s="43"/>
      <c r="Y424" s="43"/>
      <c r="AL424" s="43"/>
      <c r="AM424" s="43"/>
    </row>
    <row r="425" spans="1:39" ht="13.15">
      <c r="A425" s="41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W425" s="43"/>
      <c r="X425" s="43"/>
      <c r="Y425" s="43"/>
      <c r="AL425" s="43"/>
      <c r="AM425" s="43"/>
    </row>
    <row r="426" spans="1:39" ht="13.15">
      <c r="A426" s="41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W426" s="43"/>
      <c r="X426" s="43"/>
      <c r="Y426" s="43"/>
      <c r="AL426" s="43"/>
      <c r="AM426" s="43"/>
    </row>
    <row r="427" spans="1:39" ht="13.15">
      <c r="A427" s="41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W427" s="43"/>
      <c r="X427" s="43"/>
      <c r="Y427" s="43"/>
      <c r="AL427" s="43"/>
      <c r="AM427" s="43"/>
    </row>
    <row r="428" spans="1:39" ht="13.15">
      <c r="A428" s="41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W428" s="43"/>
      <c r="X428" s="43"/>
      <c r="Y428" s="43"/>
      <c r="AL428" s="43"/>
      <c r="AM428" s="43"/>
    </row>
    <row r="429" spans="1:39" ht="13.15">
      <c r="A429" s="41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W429" s="43"/>
      <c r="X429" s="43"/>
      <c r="Y429" s="43"/>
      <c r="AL429" s="43"/>
      <c r="AM429" s="43"/>
    </row>
    <row r="430" spans="1:39" ht="13.15">
      <c r="A430" s="41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W430" s="43"/>
      <c r="X430" s="43"/>
      <c r="Y430" s="43"/>
      <c r="AL430" s="43"/>
      <c r="AM430" s="43"/>
    </row>
    <row r="431" spans="1:39" ht="13.15">
      <c r="A431" s="41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W431" s="43"/>
      <c r="X431" s="43"/>
      <c r="Y431" s="43"/>
      <c r="AL431" s="43"/>
      <c r="AM431" s="43"/>
    </row>
    <row r="432" spans="1:39" ht="13.15">
      <c r="A432" s="41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W432" s="43"/>
      <c r="X432" s="43"/>
      <c r="Y432" s="43"/>
      <c r="AL432" s="43"/>
      <c r="AM432" s="43"/>
    </row>
    <row r="433" spans="1:39" ht="13.15">
      <c r="A433" s="41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W433" s="43"/>
      <c r="X433" s="43"/>
      <c r="Y433" s="43"/>
      <c r="AL433" s="43"/>
      <c r="AM433" s="43"/>
    </row>
    <row r="434" spans="1:39" ht="13.15">
      <c r="A434" s="41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W434" s="43"/>
      <c r="X434" s="43"/>
      <c r="Y434" s="43"/>
      <c r="AL434" s="43"/>
      <c r="AM434" s="43"/>
    </row>
    <row r="435" spans="1:39" ht="13.15">
      <c r="A435" s="41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W435" s="43"/>
      <c r="X435" s="43"/>
      <c r="Y435" s="43"/>
      <c r="AL435" s="43"/>
      <c r="AM435" s="43"/>
    </row>
    <row r="436" spans="1:39" ht="13.15">
      <c r="A436" s="41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W436" s="43"/>
      <c r="X436" s="43"/>
      <c r="Y436" s="43"/>
      <c r="AL436" s="43"/>
      <c r="AM436" s="43"/>
    </row>
    <row r="437" spans="1:39" ht="13.15">
      <c r="A437" s="41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W437" s="43"/>
      <c r="X437" s="43"/>
      <c r="Y437" s="43"/>
      <c r="AL437" s="43"/>
      <c r="AM437" s="43"/>
    </row>
    <row r="438" spans="1:39" ht="13.15">
      <c r="A438" s="41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W438" s="43"/>
      <c r="X438" s="43"/>
      <c r="Y438" s="43"/>
      <c r="AL438" s="43"/>
      <c r="AM438" s="43"/>
    </row>
    <row r="439" spans="1:39" ht="13.15">
      <c r="A439" s="41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W439" s="43"/>
      <c r="X439" s="43"/>
      <c r="Y439" s="43"/>
      <c r="AL439" s="43"/>
      <c r="AM439" s="43"/>
    </row>
    <row r="440" spans="1:39" ht="13.15">
      <c r="A440" s="41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W440" s="43"/>
      <c r="X440" s="43"/>
      <c r="Y440" s="43"/>
      <c r="AL440" s="43"/>
      <c r="AM440" s="43"/>
    </row>
    <row r="441" spans="1:39" ht="13.15">
      <c r="A441" s="41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W441" s="43"/>
      <c r="X441" s="43"/>
      <c r="Y441" s="43"/>
      <c r="AL441" s="43"/>
      <c r="AM441" s="43"/>
    </row>
    <row r="442" spans="1:39" ht="13.15">
      <c r="A442" s="41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W442" s="43"/>
      <c r="X442" s="43"/>
      <c r="Y442" s="43"/>
      <c r="AL442" s="43"/>
      <c r="AM442" s="43"/>
    </row>
    <row r="443" spans="1:39" ht="13.15">
      <c r="A443" s="41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W443" s="43"/>
      <c r="X443" s="43"/>
      <c r="Y443" s="43"/>
      <c r="AL443" s="43"/>
      <c r="AM443" s="43"/>
    </row>
    <row r="444" spans="1:39" ht="13.15">
      <c r="A444" s="41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W444" s="43"/>
      <c r="X444" s="43"/>
      <c r="Y444" s="43"/>
      <c r="AL444" s="43"/>
      <c r="AM444" s="43"/>
    </row>
    <row r="445" spans="1:39" ht="13.15">
      <c r="A445" s="41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W445" s="43"/>
      <c r="X445" s="43"/>
      <c r="Y445" s="43"/>
      <c r="AL445" s="43"/>
      <c r="AM445" s="43"/>
    </row>
    <row r="446" spans="1:39" ht="13.15">
      <c r="A446" s="41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W446" s="43"/>
      <c r="X446" s="43"/>
      <c r="Y446" s="43"/>
      <c r="AL446" s="43"/>
      <c r="AM446" s="43"/>
    </row>
    <row r="447" spans="1:39" ht="13.15">
      <c r="A447" s="41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W447" s="43"/>
      <c r="X447" s="43"/>
      <c r="Y447" s="43"/>
      <c r="AL447" s="43"/>
      <c r="AM447" s="43"/>
    </row>
    <row r="448" spans="1:39" ht="13.15">
      <c r="A448" s="41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W448" s="43"/>
      <c r="X448" s="43"/>
      <c r="Y448" s="43"/>
      <c r="AL448" s="43"/>
      <c r="AM448" s="43"/>
    </row>
    <row r="449" spans="1:39" ht="13.15">
      <c r="A449" s="41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W449" s="43"/>
      <c r="X449" s="43"/>
      <c r="Y449" s="43"/>
      <c r="AL449" s="43"/>
      <c r="AM449" s="43"/>
    </row>
    <row r="450" spans="1:39" ht="13.15">
      <c r="A450" s="41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W450" s="43"/>
      <c r="X450" s="43"/>
      <c r="Y450" s="43"/>
      <c r="AL450" s="43"/>
      <c r="AM450" s="43"/>
    </row>
    <row r="451" spans="1:39" ht="13.15">
      <c r="A451" s="41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W451" s="43"/>
      <c r="X451" s="43"/>
      <c r="Y451" s="43"/>
      <c r="AL451" s="43"/>
      <c r="AM451" s="43"/>
    </row>
    <row r="452" spans="1:39" ht="13.15">
      <c r="A452" s="41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W452" s="43"/>
      <c r="X452" s="43"/>
      <c r="Y452" s="43"/>
      <c r="AL452" s="43"/>
      <c r="AM452" s="43"/>
    </row>
    <row r="453" spans="1:39" ht="13.15">
      <c r="A453" s="41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W453" s="43"/>
      <c r="X453" s="43"/>
      <c r="Y453" s="43"/>
      <c r="AL453" s="43"/>
      <c r="AM453" s="43"/>
    </row>
    <row r="454" spans="1:39" ht="13.15">
      <c r="A454" s="41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W454" s="43"/>
      <c r="X454" s="43"/>
      <c r="Y454" s="43"/>
      <c r="AL454" s="43"/>
      <c r="AM454" s="43"/>
    </row>
    <row r="455" spans="1:39" ht="13.15">
      <c r="A455" s="41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W455" s="43"/>
      <c r="X455" s="43"/>
      <c r="Y455" s="43"/>
      <c r="AL455" s="43"/>
      <c r="AM455" s="43"/>
    </row>
    <row r="456" spans="1:39" ht="13.15">
      <c r="A456" s="41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W456" s="43"/>
      <c r="X456" s="43"/>
      <c r="Y456" s="43"/>
      <c r="AL456" s="43"/>
      <c r="AM456" s="43"/>
    </row>
    <row r="457" spans="1:39" ht="13.15">
      <c r="A457" s="41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W457" s="43"/>
      <c r="X457" s="43"/>
      <c r="Y457" s="43"/>
      <c r="AL457" s="43"/>
      <c r="AM457" s="43"/>
    </row>
    <row r="458" spans="1:39" ht="13.15">
      <c r="A458" s="41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W458" s="43"/>
      <c r="X458" s="43"/>
      <c r="Y458" s="43"/>
      <c r="AL458" s="43"/>
      <c r="AM458" s="43"/>
    </row>
    <row r="459" spans="1:39" ht="13.15">
      <c r="A459" s="41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W459" s="43"/>
      <c r="X459" s="43"/>
      <c r="Y459" s="43"/>
      <c r="AL459" s="43"/>
      <c r="AM459" s="43"/>
    </row>
    <row r="460" spans="1:39" ht="13.15">
      <c r="A460" s="41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W460" s="43"/>
      <c r="X460" s="43"/>
      <c r="Y460" s="43"/>
      <c r="AL460" s="43"/>
      <c r="AM460" s="43"/>
    </row>
    <row r="461" spans="1:39" ht="13.15">
      <c r="A461" s="41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W461" s="43"/>
      <c r="X461" s="43"/>
      <c r="Y461" s="43"/>
      <c r="AL461" s="43"/>
      <c r="AM461" s="43"/>
    </row>
    <row r="462" spans="1:39" ht="13.15">
      <c r="A462" s="41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W462" s="43"/>
      <c r="X462" s="43"/>
      <c r="Y462" s="43"/>
      <c r="AL462" s="43"/>
      <c r="AM462" s="43"/>
    </row>
    <row r="463" spans="1:39" ht="13.15">
      <c r="A463" s="41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W463" s="43"/>
      <c r="X463" s="43"/>
      <c r="Y463" s="43"/>
      <c r="AL463" s="43"/>
      <c r="AM463" s="43"/>
    </row>
    <row r="464" spans="1:39" ht="13.15">
      <c r="A464" s="41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W464" s="43"/>
      <c r="X464" s="43"/>
      <c r="Y464" s="43"/>
      <c r="AL464" s="43"/>
      <c r="AM464" s="43"/>
    </row>
    <row r="465" spans="1:39" ht="13.15">
      <c r="A465" s="41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W465" s="43"/>
      <c r="X465" s="43"/>
      <c r="Y465" s="43"/>
      <c r="AL465" s="43"/>
      <c r="AM465" s="43"/>
    </row>
    <row r="466" spans="1:39" ht="13.15">
      <c r="A466" s="41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W466" s="43"/>
      <c r="X466" s="43"/>
      <c r="Y466" s="43"/>
      <c r="AL466" s="43"/>
      <c r="AM466" s="43"/>
    </row>
    <row r="467" spans="1:39" ht="13.15">
      <c r="A467" s="41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W467" s="43"/>
      <c r="X467" s="43"/>
      <c r="Y467" s="43"/>
      <c r="AL467" s="43"/>
      <c r="AM467" s="43"/>
    </row>
    <row r="468" spans="1:39" ht="13.15">
      <c r="A468" s="41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W468" s="43"/>
      <c r="X468" s="43"/>
      <c r="Y468" s="43"/>
      <c r="AL468" s="43"/>
      <c r="AM468" s="43"/>
    </row>
    <row r="469" spans="1:39" ht="13.15">
      <c r="A469" s="41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W469" s="43"/>
      <c r="X469" s="43"/>
      <c r="Y469" s="43"/>
      <c r="AL469" s="43"/>
      <c r="AM469" s="43"/>
    </row>
    <row r="470" spans="1:39" ht="13.15">
      <c r="A470" s="41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W470" s="43"/>
      <c r="X470" s="43"/>
      <c r="Y470" s="43"/>
      <c r="AL470" s="43"/>
      <c r="AM470" s="43"/>
    </row>
    <row r="471" spans="1:39" ht="13.15">
      <c r="A471" s="41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W471" s="43"/>
      <c r="X471" s="43"/>
      <c r="Y471" s="43"/>
      <c r="AL471" s="43"/>
      <c r="AM471" s="43"/>
    </row>
    <row r="472" spans="1:39" ht="13.15">
      <c r="A472" s="41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W472" s="43"/>
      <c r="X472" s="43"/>
      <c r="Y472" s="43"/>
      <c r="AL472" s="43"/>
      <c r="AM472" s="43"/>
    </row>
    <row r="473" spans="1:39" ht="13.15">
      <c r="A473" s="41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W473" s="43"/>
      <c r="X473" s="43"/>
      <c r="Y473" s="43"/>
      <c r="AL473" s="43"/>
      <c r="AM473" s="43"/>
    </row>
    <row r="474" spans="1:39" ht="13.15">
      <c r="A474" s="41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W474" s="43"/>
      <c r="X474" s="43"/>
      <c r="Y474" s="43"/>
      <c r="AL474" s="43"/>
      <c r="AM474" s="43"/>
    </row>
    <row r="475" spans="1:39" ht="13.15">
      <c r="A475" s="41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W475" s="43"/>
      <c r="X475" s="43"/>
      <c r="Y475" s="43"/>
      <c r="AL475" s="43"/>
      <c r="AM475" s="43"/>
    </row>
    <row r="476" spans="1:39" ht="13.15">
      <c r="A476" s="41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W476" s="43"/>
      <c r="X476" s="43"/>
      <c r="Y476" s="43"/>
      <c r="AL476" s="43"/>
      <c r="AM476" s="43"/>
    </row>
    <row r="477" spans="1:39" ht="13.15">
      <c r="A477" s="41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W477" s="43"/>
      <c r="X477" s="43"/>
      <c r="Y477" s="43"/>
      <c r="AL477" s="43"/>
      <c r="AM477" s="43"/>
    </row>
    <row r="478" spans="1:39" ht="13.15">
      <c r="A478" s="41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W478" s="43"/>
      <c r="X478" s="43"/>
      <c r="Y478" s="43"/>
      <c r="AL478" s="43"/>
      <c r="AM478" s="43"/>
    </row>
    <row r="479" spans="1:39" ht="13.15">
      <c r="A479" s="41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W479" s="43"/>
      <c r="X479" s="43"/>
      <c r="Y479" s="43"/>
      <c r="AL479" s="43"/>
      <c r="AM479" s="43"/>
    </row>
    <row r="480" spans="1:39" ht="13.15">
      <c r="A480" s="41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W480" s="43"/>
      <c r="X480" s="43"/>
      <c r="Y480" s="43"/>
      <c r="AL480" s="43"/>
      <c r="AM480" s="43"/>
    </row>
    <row r="481" spans="1:39" ht="13.15">
      <c r="A481" s="41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W481" s="43"/>
      <c r="X481" s="43"/>
      <c r="Y481" s="43"/>
      <c r="AL481" s="43"/>
      <c r="AM481" s="43"/>
    </row>
    <row r="482" spans="1:39" ht="13.15">
      <c r="A482" s="41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W482" s="43"/>
      <c r="X482" s="43"/>
      <c r="Y482" s="43"/>
      <c r="AL482" s="43"/>
      <c r="AM482" s="43"/>
    </row>
    <row r="483" spans="1:39" ht="13.15">
      <c r="A483" s="41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W483" s="43"/>
      <c r="X483" s="43"/>
      <c r="Y483" s="43"/>
      <c r="AL483" s="43"/>
      <c r="AM483" s="43"/>
    </row>
    <row r="484" spans="1:39" ht="13.15">
      <c r="A484" s="41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W484" s="43"/>
      <c r="X484" s="43"/>
      <c r="Y484" s="43"/>
      <c r="AL484" s="43"/>
      <c r="AM484" s="43"/>
    </row>
    <row r="485" spans="1:39" ht="13.15">
      <c r="A485" s="41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W485" s="43"/>
      <c r="X485" s="43"/>
      <c r="Y485" s="43"/>
      <c r="AL485" s="43"/>
      <c r="AM485" s="43"/>
    </row>
    <row r="486" spans="1:39" ht="13.15">
      <c r="A486" s="41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W486" s="43"/>
      <c r="X486" s="43"/>
      <c r="Y486" s="43"/>
      <c r="AL486" s="43"/>
      <c r="AM486" s="43"/>
    </row>
    <row r="487" spans="1:39" ht="13.15">
      <c r="A487" s="41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W487" s="43"/>
      <c r="X487" s="43"/>
      <c r="Y487" s="43"/>
      <c r="AL487" s="43"/>
      <c r="AM487" s="43"/>
    </row>
    <row r="488" spans="1:39" ht="13.15">
      <c r="A488" s="41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W488" s="43"/>
      <c r="X488" s="43"/>
      <c r="Y488" s="43"/>
      <c r="AL488" s="43"/>
      <c r="AM488" s="43"/>
    </row>
    <row r="489" spans="1:39" ht="13.15">
      <c r="A489" s="41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W489" s="43"/>
      <c r="X489" s="43"/>
      <c r="Y489" s="43"/>
      <c r="AL489" s="43"/>
      <c r="AM489" s="43"/>
    </row>
    <row r="490" spans="1:39" ht="13.15">
      <c r="A490" s="41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W490" s="43"/>
      <c r="X490" s="43"/>
      <c r="Y490" s="43"/>
      <c r="AL490" s="43"/>
      <c r="AM490" s="43"/>
    </row>
    <row r="491" spans="1:39" ht="13.15">
      <c r="A491" s="41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W491" s="43"/>
      <c r="X491" s="43"/>
      <c r="Y491" s="43"/>
      <c r="AL491" s="43"/>
      <c r="AM491" s="43"/>
    </row>
    <row r="492" spans="1:39" ht="13.15">
      <c r="A492" s="41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W492" s="43"/>
      <c r="X492" s="43"/>
      <c r="Y492" s="43"/>
      <c r="AL492" s="43"/>
      <c r="AM492" s="43"/>
    </row>
    <row r="493" spans="1:39" ht="13.15">
      <c r="A493" s="41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W493" s="43"/>
      <c r="X493" s="43"/>
      <c r="Y493" s="43"/>
      <c r="AL493" s="43"/>
      <c r="AM493" s="43"/>
    </row>
    <row r="494" spans="1:39" ht="13.15">
      <c r="A494" s="41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W494" s="43"/>
      <c r="X494" s="43"/>
      <c r="Y494" s="43"/>
      <c r="AL494" s="43"/>
      <c r="AM494" s="43"/>
    </row>
    <row r="495" spans="1:39" ht="13.15">
      <c r="A495" s="41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W495" s="43"/>
      <c r="X495" s="43"/>
      <c r="Y495" s="43"/>
      <c r="AL495" s="43"/>
      <c r="AM495" s="43"/>
    </row>
    <row r="496" spans="1:39" ht="13.15">
      <c r="A496" s="41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W496" s="43"/>
      <c r="X496" s="43"/>
      <c r="Y496" s="43"/>
      <c r="AL496" s="43"/>
      <c r="AM496" s="43"/>
    </row>
    <row r="497" spans="1:39" ht="13.15">
      <c r="A497" s="41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W497" s="43"/>
      <c r="X497" s="43"/>
      <c r="Y497" s="43"/>
      <c r="AL497" s="43"/>
      <c r="AM497" s="43"/>
    </row>
    <row r="498" spans="1:39" ht="13.15">
      <c r="A498" s="41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W498" s="43"/>
      <c r="X498" s="43"/>
      <c r="Y498" s="43"/>
      <c r="AL498" s="43"/>
      <c r="AM498" s="43"/>
    </row>
    <row r="499" spans="1:39" ht="13.15">
      <c r="A499" s="41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W499" s="43"/>
      <c r="X499" s="43"/>
      <c r="Y499" s="43"/>
      <c r="AL499" s="43"/>
      <c r="AM499" s="43"/>
    </row>
    <row r="500" spans="1:39" ht="13.15">
      <c r="A500" s="41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W500" s="43"/>
      <c r="X500" s="43"/>
      <c r="Y500" s="43"/>
      <c r="AL500" s="43"/>
      <c r="AM500" s="43"/>
    </row>
    <row r="501" spans="1:39" ht="13.15">
      <c r="A501" s="41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W501" s="43"/>
      <c r="X501" s="43"/>
      <c r="Y501" s="43"/>
      <c r="AL501" s="43"/>
      <c r="AM501" s="43"/>
    </row>
    <row r="502" spans="1:39" ht="13.15">
      <c r="A502" s="41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W502" s="43"/>
      <c r="X502" s="43"/>
      <c r="Y502" s="43"/>
      <c r="AL502" s="43"/>
      <c r="AM502" s="43"/>
    </row>
    <row r="503" spans="1:39" ht="13.15">
      <c r="A503" s="41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W503" s="43"/>
      <c r="X503" s="43"/>
      <c r="Y503" s="43"/>
      <c r="AL503" s="43"/>
      <c r="AM503" s="43"/>
    </row>
    <row r="504" spans="1:39" ht="13.15">
      <c r="A504" s="41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W504" s="43"/>
      <c r="X504" s="43"/>
      <c r="Y504" s="43"/>
      <c r="AL504" s="43"/>
      <c r="AM504" s="43"/>
    </row>
    <row r="505" spans="1:39" ht="13.15">
      <c r="A505" s="41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W505" s="43"/>
      <c r="X505" s="43"/>
      <c r="Y505" s="43"/>
      <c r="AL505" s="43"/>
      <c r="AM505" s="43"/>
    </row>
    <row r="506" spans="1:39" ht="13.15">
      <c r="A506" s="41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W506" s="43"/>
      <c r="X506" s="43"/>
      <c r="Y506" s="43"/>
      <c r="AL506" s="43"/>
      <c r="AM506" s="43"/>
    </row>
    <row r="507" spans="1:39" ht="13.15">
      <c r="A507" s="41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W507" s="43"/>
      <c r="X507" s="43"/>
      <c r="Y507" s="43"/>
      <c r="AL507" s="43"/>
      <c r="AM507" s="43"/>
    </row>
    <row r="508" spans="1:39" ht="13.15">
      <c r="A508" s="41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W508" s="43"/>
      <c r="X508" s="43"/>
      <c r="Y508" s="43"/>
      <c r="AL508" s="43"/>
      <c r="AM508" s="43"/>
    </row>
    <row r="509" spans="1:39" ht="13.15">
      <c r="A509" s="41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W509" s="43"/>
      <c r="X509" s="43"/>
      <c r="Y509" s="43"/>
      <c r="AL509" s="43"/>
      <c r="AM509" s="43"/>
    </row>
    <row r="510" spans="1:39" ht="13.15">
      <c r="A510" s="41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W510" s="43"/>
      <c r="X510" s="43"/>
      <c r="Y510" s="43"/>
      <c r="AL510" s="43"/>
      <c r="AM510" s="43"/>
    </row>
    <row r="511" spans="1:39" ht="13.15">
      <c r="A511" s="41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W511" s="43"/>
      <c r="X511" s="43"/>
      <c r="Y511" s="43"/>
      <c r="AL511" s="43"/>
      <c r="AM511" s="43"/>
    </row>
    <row r="512" spans="1:39" ht="13.15">
      <c r="A512" s="41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W512" s="43"/>
      <c r="X512" s="43"/>
      <c r="Y512" s="43"/>
      <c r="AL512" s="43"/>
      <c r="AM512" s="43"/>
    </row>
    <row r="513" spans="1:39" ht="13.15">
      <c r="A513" s="41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W513" s="43"/>
      <c r="X513" s="43"/>
      <c r="Y513" s="43"/>
      <c r="AL513" s="43"/>
      <c r="AM513" s="43"/>
    </row>
    <row r="514" spans="1:39" ht="13.15">
      <c r="A514" s="41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W514" s="43"/>
      <c r="X514" s="43"/>
      <c r="Y514" s="43"/>
      <c r="AL514" s="43"/>
      <c r="AM514" s="43"/>
    </row>
    <row r="515" spans="1:39" ht="13.15">
      <c r="A515" s="41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W515" s="43"/>
      <c r="X515" s="43"/>
      <c r="Y515" s="43"/>
      <c r="AL515" s="43"/>
      <c r="AM515" s="43"/>
    </row>
    <row r="516" spans="1:39" ht="13.15">
      <c r="A516" s="41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W516" s="43"/>
      <c r="X516" s="43"/>
      <c r="Y516" s="43"/>
      <c r="AL516" s="43"/>
      <c r="AM516" s="43"/>
    </row>
    <row r="517" spans="1:39" ht="13.15">
      <c r="A517" s="41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W517" s="43"/>
      <c r="X517" s="43"/>
      <c r="Y517" s="43"/>
      <c r="AL517" s="43"/>
      <c r="AM517" s="43"/>
    </row>
    <row r="518" spans="1:39" ht="13.15">
      <c r="A518" s="41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W518" s="43"/>
      <c r="X518" s="43"/>
      <c r="Y518" s="43"/>
      <c r="AL518" s="43"/>
      <c r="AM518" s="43"/>
    </row>
    <row r="519" spans="1:39" ht="13.15">
      <c r="A519" s="41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W519" s="43"/>
      <c r="X519" s="43"/>
      <c r="Y519" s="43"/>
      <c r="AL519" s="43"/>
      <c r="AM519" s="43"/>
    </row>
    <row r="520" spans="1:39" ht="13.15">
      <c r="A520" s="41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W520" s="43"/>
      <c r="X520" s="43"/>
      <c r="Y520" s="43"/>
      <c r="AL520" s="43"/>
      <c r="AM520" s="43"/>
    </row>
    <row r="521" spans="1:39" ht="13.15">
      <c r="A521" s="41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W521" s="43"/>
      <c r="X521" s="43"/>
      <c r="Y521" s="43"/>
      <c r="AL521" s="43"/>
      <c r="AM521" s="43"/>
    </row>
    <row r="522" spans="1:39" ht="13.15">
      <c r="A522" s="41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W522" s="43"/>
      <c r="X522" s="43"/>
      <c r="Y522" s="43"/>
      <c r="AL522" s="43"/>
      <c r="AM522" s="43"/>
    </row>
    <row r="523" spans="1:39" ht="13.15">
      <c r="A523" s="41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W523" s="43"/>
      <c r="X523" s="43"/>
      <c r="Y523" s="43"/>
      <c r="AL523" s="43"/>
      <c r="AM523" s="43"/>
    </row>
    <row r="524" spans="1:39" ht="13.15">
      <c r="A524" s="41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W524" s="43"/>
      <c r="X524" s="43"/>
      <c r="Y524" s="43"/>
      <c r="AL524" s="43"/>
      <c r="AM524" s="43"/>
    </row>
    <row r="525" spans="1:39" ht="13.15">
      <c r="A525" s="41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W525" s="43"/>
      <c r="X525" s="43"/>
      <c r="Y525" s="43"/>
      <c r="AL525" s="43"/>
      <c r="AM525" s="43"/>
    </row>
    <row r="526" spans="1:39" ht="13.15">
      <c r="A526" s="41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W526" s="43"/>
      <c r="X526" s="43"/>
      <c r="Y526" s="43"/>
      <c r="AL526" s="43"/>
      <c r="AM526" s="43"/>
    </row>
    <row r="527" spans="1:39" ht="13.15">
      <c r="A527" s="41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W527" s="43"/>
      <c r="X527" s="43"/>
      <c r="Y527" s="43"/>
      <c r="AL527" s="43"/>
      <c r="AM527" s="43"/>
    </row>
    <row r="528" spans="1:39" ht="13.15">
      <c r="A528" s="41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W528" s="43"/>
      <c r="X528" s="43"/>
      <c r="Y528" s="43"/>
      <c r="AL528" s="43"/>
      <c r="AM528" s="43"/>
    </row>
    <row r="529" spans="1:39" ht="13.15">
      <c r="A529" s="41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W529" s="43"/>
      <c r="X529" s="43"/>
      <c r="Y529" s="43"/>
      <c r="AL529" s="43"/>
      <c r="AM529" s="43"/>
    </row>
    <row r="530" spans="1:39" ht="13.15">
      <c r="A530" s="41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W530" s="43"/>
      <c r="X530" s="43"/>
      <c r="Y530" s="43"/>
      <c r="AL530" s="43"/>
      <c r="AM530" s="43"/>
    </row>
    <row r="531" spans="1:39" ht="13.15">
      <c r="A531" s="41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W531" s="43"/>
      <c r="X531" s="43"/>
      <c r="Y531" s="43"/>
      <c r="AL531" s="43"/>
      <c r="AM531" s="43"/>
    </row>
    <row r="532" spans="1:39" ht="13.15">
      <c r="A532" s="41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W532" s="43"/>
      <c r="X532" s="43"/>
      <c r="Y532" s="43"/>
      <c r="AL532" s="43"/>
      <c r="AM532" s="43"/>
    </row>
    <row r="533" spans="1:39" ht="13.15">
      <c r="A533" s="41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W533" s="43"/>
      <c r="X533" s="43"/>
      <c r="Y533" s="43"/>
      <c r="AL533" s="43"/>
      <c r="AM533" s="43"/>
    </row>
    <row r="534" spans="1:39" ht="13.15">
      <c r="A534" s="41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W534" s="43"/>
      <c r="X534" s="43"/>
      <c r="Y534" s="43"/>
      <c r="AL534" s="43"/>
      <c r="AM534" s="43"/>
    </row>
    <row r="535" spans="1:39" ht="13.15">
      <c r="A535" s="41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W535" s="43"/>
      <c r="X535" s="43"/>
      <c r="Y535" s="43"/>
      <c r="AL535" s="43"/>
      <c r="AM535" s="43"/>
    </row>
    <row r="536" spans="1:39" ht="13.15">
      <c r="A536" s="41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W536" s="43"/>
      <c r="X536" s="43"/>
      <c r="Y536" s="43"/>
      <c r="AL536" s="43"/>
      <c r="AM536" s="43"/>
    </row>
    <row r="537" spans="1:39" ht="13.15">
      <c r="A537" s="41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W537" s="43"/>
      <c r="X537" s="43"/>
      <c r="Y537" s="43"/>
      <c r="AL537" s="43"/>
      <c r="AM537" s="43"/>
    </row>
    <row r="538" spans="1:39" ht="13.15">
      <c r="A538" s="41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W538" s="43"/>
      <c r="X538" s="43"/>
      <c r="Y538" s="43"/>
      <c r="AL538" s="43"/>
      <c r="AM538" s="43"/>
    </row>
    <row r="539" spans="1:39" ht="13.15">
      <c r="A539" s="41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W539" s="43"/>
      <c r="X539" s="43"/>
      <c r="Y539" s="43"/>
      <c r="AL539" s="43"/>
      <c r="AM539" s="43"/>
    </row>
    <row r="540" spans="1:39" ht="13.15">
      <c r="A540" s="41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W540" s="43"/>
      <c r="X540" s="43"/>
      <c r="Y540" s="43"/>
      <c r="AL540" s="43"/>
      <c r="AM540" s="43"/>
    </row>
    <row r="541" spans="1:39" ht="13.15">
      <c r="A541" s="41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W541" s="43"/>
      <c r="X541" s="43"/>
      <c r="Y541" s="43"/>
      <c r="AL541" s="43"/>
      <c r="AM541" s="43"/>
    </row>
    <row r="542" spans="1:39" ht="13.15">
      <c r="A542" s="41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W542" s="43"/>
      <c r="X542" s="43"/>
      <c r="Y542" s="43"/>
      <c r="AL542" s="43"/>
      <c r="AM542" s="43"/>
    </row>
    <row r="543" spans="1:39" ht="13.15">
      <c r="A543" s="41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W543" s="43"/>
      <c r="X543" s="43"/>
      <c r="Y543" s="43"/>
      <c r="AL543" s="43"/>
      <c r="AM543" s="43"/>
    </row>
    <row r="544" spans="1:39" ht="13.15">
      <c r="A544" s="41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W544" s="43"/>
      <c r="X544" s="43"/>
      <c r="Y544" s="43"/>
      <c r="AL544" s="43"/>
      <c r="AM544" s="43"/>
    </row>
    <row r="545" spans="1:39" ht="13.15">
      <c r="A545" s="41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W545" s="43"/>
      <c r="X545" s="43"/>
      <c r="Y545" s="43"/>
      <c r="AL545" s="43"/>
      <c r="AM545" s="43"/>
    </row>
    <row r="546" spans="1:39" ht="13.15">
      <c r="A546" s="41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W546" s="43"/>
      <c r="X546" s="43"/>
      <c r="Y546" s="43"/>
      <c r="AL546" s="43"/>
      <c r="AM546" s="43"/>
    </row>
    <row r="547" spans="1:39" ht="13.15">
      <c r="A547" s="41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W547" s="43"/>
      <c r="X547" s="43"/>
      <c r="Y547" s="43"/>
      <c r="AL547" s="43"/>
      <c r="AM547" s="43"/>
    </row>
    <row r="548" spans="1:39" ht="13.15">
      <c r="A548" s="41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W548" s="43"/>
      <c r="X548" s="43"/>
      <c r="Y548" s="43"/>
      <c r="AL548" s="43"/>
      <c r="AM548" s="43"/>
    </row>
    <row r="549" spans="1:39" ht="13.15">
      <c r="A549" s="41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W549" s="43"/>
      <c r="X549" s="43"/>
      <c r="Y549" s="43"/>
      <c r="AL549" s="43"/>
      <c r="AM549" s="43"/>
    </row>
    <row r="550" spans="1:39" ht="13.15">
      <c r="A550" s="41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W550" s="43"/>
      <c r="X550" s="43"/>
      <c r="Y550" s="43"/>
      <c r="AL550" s="43"/>
      <c r="AM550" s="43"/>
    </row>
    <row r="551" spans="1:39" ht="13.15">
      <c r="A551" s="41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W551" s="43"/>
      <c r="X551" s="43"/>
      <c r="Y551" s="43"/>
      <c r="AL551" s="43"/>
      <c r="AM551" s="43"/>
    </row>
    <row r="552" spans="1:39" ht="13.15">
      <c r="A552" s="41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W552" s="43"/>
      <c r="X552" s="43"/>
      <c r="Y552" s="43"/>
      <c r="AL552" s="43"/>
      <c r="AM552" s="43"/>
    </row>
    <row r="553" spans="1:39" ht="13.15">
      <c r="A553" s="41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W553" s="43"/>
      <c r="X553" s="43"/>
      <c r="Y553" s="43"/>
      <c r="AL553" s="43"/>
      <c r="AM553" s="43"/>
    </row>
    <row r="554" spans="1:39" ht="13.15">
      <c r="A554" s="41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W554" s="43"/>
      <c r="X554" s="43"/>
      <c r="Y554" s="43"/>
      <c r="AL554" s="43"/>
      <c r="AM554" s="43"/>
    </row>
    <row r="555" spans="1:39" ht="13.15">
      <c r="A555" s="41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W555" s="43"/>
      <c r="X555" s="43"/>
      <c r="Y555" s="43"/>
      <c r="AL555" s="43"/>
      <c r="AM555" s="43"/>
    </row>
    <row r="556" spans="1:39" ht="13.15">
      <c r="A556" s="41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W556" s="43"/>
      <c r="X556" s="43"/>
      <c r="Y556" s="43"/>
      <c r="AL556" s="43"/>
      <c r="AM556" s="43"/>
    </row>
    <row r="557" spans="1:39" ht="13.15">
      <c r="A557" s="41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W557" s="43"/>
      <c r="X557" s="43"/>
      <c r="Y557" s="43"/>
      <c r="AL557" s="43"/>
      <c r="AM557" s="43"/>
    </row>
    <row r="558" spans="1:39" ht="13.15">
      <c r="A558" s="41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W558" s="43"/>
      <c r="X558" s="43"/>
      <c r="Y558" s="43"/>
      <c r="AL558" s="43"/>
      <c r="AM558" s="43"/>
    </row>
    <row r="559" spans="1:39" ht="13.15">
      <c r="A559" s="41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W559" s="43"/>
      <c r="X559" s="43"/>
      <c r="Y559" s="43"/>
      <c r="AL559" s="43"/>
      <c r="AM559" s="43"/>
    </row>
    <row r="560" spans="1:39" ht="13.15">
      <c r="A560" s="41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W560" s="43"/>
      <c r="X560" s="43"/>
      <c r="Y560" s="43"/>
      <c r="AL560" s="43"/>
      <c r="AM560" s="43"/>
    </row>
    <row r="561" spans="1:39" ht="13.15">
      <c r="A561" s="41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W561" s="43"/>
      <c r="X561" s="43"/>
      <c r="Y561" s="43"/>
      <c r="AL561" s="43"/>
      <c r="AM561" s="43"/>
    </row>
    <row r="562" spans="1:39" ht="13.15">
      <c r="A562" s="41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W562" s="43"/>
      <c r="X562" s="43"/>
      <c r="Y562" s="43"/>
      <c r="AL562" s="43"/>
      <c r="AM562" s="43"/>
    </row>
    <row r="563" spans="1:39" ht="13.15">
      <c r="A563" s="41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W563" s="43"/>
      <c r="X563" s="43"/>
      <c r="Y563" s="43"/>
      <c r="AL563" s="43"/>
      <c r="AM563" s="43"/>
    </row>
    <row r="564" spans="1:39" ht="13.15">
      <c r="A564" s="41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W564" s="43"/>
      <c r="X564" s="43"/>
      <c r="Y564" s="43"/>
      <c r="AL564" s="43"/>
      <c r="AM564" s="43"/>
    </row>
    <row r="565" spans="1:39" ht="13.15">
      <c r="A565" s="41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W565" s="43"/>
      <c r="X565" s="43"/>
      <c r="Y565" s="43"/>
      <c r="AL565" s="43"/>
      <c r="AM565" s="43"/>
    </row>
    <row r="566" spans="1:39" ht="13.15">
      <c r="A566" s="41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W566" s="43"/>
      <c r="X566" s="43"/>
      <c r="Y566" s="43"/>
      <c r="AL566" s="43"/>
      <c r="AM566" s="43"/>
    </row>
    <row r="567" spans="1:39" ht="13.15">
      <c r="A567" s="41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W567" s="43"/>
      <c r="X567" s="43"/>
      <c r="Y567" s="43"/>
      <c r="AL567" s="43"/>
      <c r="AM567" s="43"/>
    </row>
    <row r="568" spans="1:39" ht="13.15">
      <c r="A568" s="41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W568" s="43"/>
      <c r="X568" s="43"/>
      <c r="Y568" s="43"/>
      <c r="AL568" s="43"/>
      <c r="AM568" s="43"/>
    </row>
    <row r="569" spans="1:39" ht="13.15">
      <c r="A569" s="41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W569" s="43"/>
      <c r="X569" s="43"/>
      <c r="Y569" s="43"/>
      <c r="AL569" s="43"/>
      <c r="AM569" s="43"/>
    </row>
    <row r="570" spans="1:39" ht="13.15">
      <c r="A570" s="41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W570" s="43"/>
      <c r="X570" s="43"/>
      <c r="Y570" s="43"/>
      <c r="AL570" s="43"/>
      <c r="AM570" s="43"/>
    </row>
    <row r="571" spans="1:39" ht="13.15">
      <c r="A571" s="41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W571" s="43"/>
      <c r="X571" s="43"/>
      <c r="Y571" s="43"/>
      <c r="AL571" s="43"/>
      <c r="AM571" s="43"/>
    </row>
    <row r="572" spans="1:39" ht="13.15">
      <c r="A572" s="41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W572" s="43"/>
      <c r="X572" s="43"/>
      <c r="Y572" s="43"/>
      <c r="AL572" s="43"/>
      <c r="AM572" s="43"/>
    </row>
    <row r="573" spans="1:39" ht="13.15">
      <c r="A573" s="41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W573" s="43"/>
      <c r="X573" s="43"/>
      <c r="Y573" s="43"/>
      <c r="AL573" s="43"/>
      <c r="AM573" s="43"/>
    </row>
    <row r="574" spans="1:39" ht="13.15">
      <c r="A574" s="41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W574" s="43"/>
      <c r="X574" s="43"/>
      <c r="Y574" s="43"/>
      <c r="AL574" s="43"/>
      <c r="AM574" s="43"/>
    </row>
    <row r="575" spans="1:39" ht="13.15">
      <c r="A575" s="41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W575" s="43"/>
      <c r="X575" s="43"/>
      <c r="Y575" s="43"/>
      <c r="AL575" s="43"/>
      <c r="AM575" s="43"/>
    </row>
    <row r="576" spans="1:39" ht="13.15">
      <c r="A576" s="41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W576" s="43"/>
      <c r="X576" s="43"/>
      <c r="Y576" s="43"/>
      <c r="AL576" s="43"/>
      <c r="AM576" s="43"/>
    </row>
    <row r="577" spans="1:39" ht="13.15">
      <c r="A577" s="41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W577" s="43"/>
      <c r="X577" s="43"/>
      <c r="Y577" s="43"/>
      <c r="AL577" s="43"/>
      <c r="AM577" s="43"/>
    </row>
    <row r="578" spans="1:39" ht="13.15">
      <c r="A578" s="41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W578" s="43"/>
      <c r="X578" s="43"/>
      <c r="Y578" s="43"/>
      <c r="AL578" s="43"/>
      <c r="AM578" s="43"/>
    </row>
    <row r="579" spans="1:39" ht="13.15">
      <c r="A579" s="41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W579" s="43"/>
      <c r="X579" s="43"/>
      <c r="Y579" s="43"/>
      <c r="AL579" s="43"/>
      <c r="AM579" s="43"/>
    </row>
    <row r="580" spans="1:39" ht="13.15">
      <c r="A580" s="41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W580" s="43"/>
      <c r="X580" s="43"/>
      <c r="Y580" s="43"/>
      <c r="AL580" s="43"/>
      <c r="AM580" s="43"/>
    </row>
    <row r="581" spans="1:39" ht="13.15">
      <c r="A581" s="41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W581" s="43"/>
      <c r="X581" s="43"/>
      <c r="Y581" s="43"/>
      <c r="AL581" s="43"/>
      <c r="AM581" s="43"/>
    </row>
    <row r="582" spans="1:39" ht="13.15">
      <c r="A582" s="41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W582" s="43"/>
      <c r="X582" s="43"/>
      <c r="Y582" s="43"/>
      <c r="AL582" s="43"/>
      <c r="AM582" s="43"/>
    </row>
    <row r="583" spans="1:39" ht="13.15">
      <c r="A583" s="41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W583" s="43"/>
      <c r="X583" s="43"/>
      <c r="Y583" s="43"/>
      <c r="AL583" s="43"/>
      <c r="AM583" s="43"/>
    </row>
    <row r="584" spans="1:39" ht="13.15">
      <c r="A584" s="41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W584" s="43"/>
      <c r="X584" s="43"/>
      <c r="Y584" s="43"/>
      <c r="AL584" s="43"/>
      <c r="AM584" s="43"/>
    </row>
    <row r="585" spans="1:39" ht="13.15">
      <c r="A585" s="41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W585" s="43"/>
      <c r="X585" s="43"/>
      <c r="Y585" s="43"/>
      <c r="AL585" s="43"/>
      <c r="AM585" s="43"/>
    </row>
    <row r="586" spans="1:39" ht="13.15">
      <c r="A586" s="41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W586" s="43"/>
      <c r="X586" s="43"/>
      <c r="Y586" s="43"/>
      <c r="AL586" s="43"/>
      <c r="AM586" s="43"/>
    </row>
    <row r="587" spans="1:39" ht="13.15">
      <c r="A587" s="41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W587" s="43"/>
      <c r="X587" s="43"/>
      <c r="Y587" s="43"/>
      <c r="AL587" s="43"/>
      <c r="AM587" s="43"/>
    </row>
    <row r="588" spans="1:39" ht="13.15">
      <c r="A588" s="41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W588" s="43"/>
      <c r="X588" s="43"/>
      <c r="Y588" s="43"/>
      <c r="AL588" s="43"/>
      <c r="AM588" s="43"/>
    </row>
    <row r="589" spans="1:39" ht="13.15">
      <c r="A589" s="41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W589" s="43"/>
      <c r="X589" s="43"/>
      <c r="Y589" s="43"/>
      <c r="AL589" s="43"/>
      <c r="AM589" s="43"/>
    </row>
    <row r="590" spans="1:39" ht="13.15">
      <c r="A590" s="41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W590" s="43"/>
      <c r="X590" s="43"/>
      <c r="Y590" s="43"/>
      <c r="AL590" s="43"/>
      <c r="AM590" s="43"/>
    </row>
    <row r="591" spans="1:39" ht="13.15">
      <c r="A591" s="41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W591" s="43"/>
      <c r="X591" s="43"/>
      <c r="Y591" s="43"/>
      <c r="AL591" s="43"/>
      <c r="AM591" s="43"/>
    </row>
    <row r="592" spans="1:39" ht="13.15">
      <c r="A592" s="41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W592" s="43"/>
      <c r="X592" s="43"/>
      <c r="Y592" s="43"/>
      <c r="AL592" s="43"/>
      <c r="AM592" s="43"/>
    </row>
    <row r="593" spans="1:39" ht="13.15">
      <c r="A593" s="41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W593" s="43"/>
      <c r="X593" s="43"/>
      <c r="Y593" s="43"/>
      <c r="AL593" s="43"/>
      <c r="AM593" s="43"/>
    </row>
    <row r="594" spans="1:39" ht="13.15">
      <c r="A594" s="41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W594" s="43"/>
      <c r="X594" s="43"/>
      <c r="Y594" s="43"/>
      <c r="AL594" s="43"/>
      <c r="AM594" s="43"/>
    </row>
    <row r="595" spans="1:39" ht="13.15">
      <c r="A595" s="41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W595" s="43"/>
      <c r="X595" s="43"/>
      <c r="Y595" s="43"/>
      <c r="AL595" s="43"/>
      <c r="AM595" s="43"/>
    </row>
    <row r="596" spans="1:39" ht="13.15">
      <c r="A596" s="41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W596" s="43"/>
      <c r="X596" s="43"/>
      <c r="Y596" s="43"/>
      <c r="AL596" s="43"/>
      <c r="AM596" s="43"/>
    </row>
    <row r="597" spans="1:39" ht="13.15">
      <c r="A597" s="41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W597" s="43"/>
      <c r="X597" s="43"/>
      <c r="Y597" s="43"/>
      <c r="AL597" s="43"/>
      <c r="AM597" s="43"/>
    </row>
    <row r="598" spans="1:39" ht="13.15">
      <c r="A598" s="41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W598" s="43"/>
      <c r="X598" s="43"/>
      <c r="Y598" s="43"/>
      <c r="AL598" s="43"/>
      <c r="AM598" s="43"/>
    </row>
    <row r="599" spans="1:39" ht="13.15">
      <c r="A599" s="41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W599" s="43"/>
      <c r="X599" s="43"/>
      <c r="Y599" s="43"/>
      <c r="AL599" s="43"/>
      <c r="AM599" s="43"/>
    </row>
    <row r="600" spans="1:39" ht="13.15">
      <c r="A600" s="41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W600" s="43"/>
      <c r="X600" s="43"/>
      <c r="Y600" s="43"/>
      <c r="AL600" s="43"/>
      <c r="AM600" s="43"/>
    </row>
    <row r="601" spans="1:39" ht="13.15">
      <c r="A601" s="41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W601" s="43"/>
      <c r="X601" s="43"/>
      <c r="Y601" s="43"/>
      <c r="AL601" s="43"/>
      <c r="AM601" s="43"/>
    </row>
    <row r="602" spans="1:39" ht="13.15">
      <c r="A602" s="41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W602" s="43"/>
      <c r="X602" s="43"/>
      <c r="Y602" s="43"/>
      <c r="AL602" s="43"/>
      <c r="AM602" s="43"/>
    </row>
    <row r="603" spans="1:39" ht="13.15">
      <c r="A603" s="41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W603" s="43"/>
      <c r="X603" s="43"/>
      <c r="Y603" s="43"/>
      <c r="AL603" s="43"/>
      <c r="AM603" s="43"/>
    </row>
    <row r="604" spans="1:39" ht="13.15">
      <c r="A604" s="41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W604" s="43"/>
      <c r="X604" s="43"/>
      <c r="Y604" s="43"/>
      <c r="AL604" s="43"/>
      <c r="AM604" s="43"/>
    </row>
    <row r="605" spans="1:39" ht="13.15">
      <c r="A605" s="41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W605" s="43"/>
      <c r="X605" s="43"/>
      <c r="Y605" s="43"/>
      <c r="AL605" s="43"/>
      <c r="AM605" s="43"/>
    </row>
    <row r="606" spans="1:39" ht="13.15">
      <c r="A606" s="41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W606" s="43"/>
      <c r="X606" s="43"/>
      <c r="Y606" s="43"/>
      <c r="AL606" s="43"/>
      <c r="AM606" s="43"/>
    </row>
    <row r="607" spans="1:39" ht="13.15">
      <c r="A607" s="41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W607" s="43"/>
      <c r="X607" s="43"/>
      <c r="Y607" s="43"/>
      <c r="AL607" s="43"/>
      <c r="AM607" s="43"/>
    </row>
    <row r="608" spans="1:39" ht="13.15">
      <c r="A608" s="41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W608" s="43"/>
      <c r="X608" s="43"/>
      <c r="Y608" s="43"/>
      <c r="AL608" s="43"/>
      <c r="AM608" s="43"/>
    </row>
    <row r="609" spans="1:39" ht="13.15">
      <c r="A609" s="41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W609" s="43"/>
      <c r="X609" s="43"/>
      <c r="Y609" s="43"/>
      <c r="AL609" s="43"/>
      <c r="AM609" s="43"/>
    </row>
    <row r="610" spans="1:39" ht="13.15">
      <c r="A610" s="41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W610" s="43"/>
      <c r="X610" s="43"/>
      <c r="Y610" s="43"/>
      <c r="AL610" s="43"/>
      <c r="AM610" s="43"/>
    </row>
    <row r="611" spans="1:39" ht="13.15">
      <c r="A611" s="41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W611" s="43"/>
      <c r="X611" s="43"/>
      <c r="Y611" s="43"/>
      <c r="AL611" s="43"/>
      <c r="AM611" s="43"/>
    </row>
    <row r="612" spans="1:39" ht="13.15">
      <c r="A612" s="41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W612" s="43"/>
      <c r="X612" s="43"/>
      <c r="Y612" s="43"/>
      <c r="AL612" s="43"/>
      <c r="AM612" s="43"/>
    </row>
    <row r="613" spans="1:39" ht="13.15">
      <c r="A613" s="41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W613" s="43"/>
      <c r="X613" s="43"/>
      <c r="Y613" s="43"/>
      <c r="AL613" s="43"/>
      <c r="AM613" s="43"/>
    </row>
    <row r="614" spans="1:39" ht="13.15">
      <c r="A614" s="41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W614" s="43"/>
      <c r="X614" s="43"/>
      <c r="Y614" s="43"/>
      <c r="AL614" s="43"/>
      <c r="AM614" s="43"/>
    </row>
    <row r="615" spans="1:39" ht="13.15">
      <c r="A615" s="41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W615" s="43"/>
      <c r="X615" s="43"/>
      <c r="Y615" s="43"/>
      <c r="AL615" s="43"/>
      <c r="AM615" s="43"/>
    </row>
    <row r="616" spans="1:39" ht="13.15">
      <c r="A616" s="41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W616" s="43"/>
      <c r="X616" s="43"/>
      <c r="Y616" s="43"/>
      <c r="AL616" s="43"/>
      <c r="AM616" s="43"/>
    </row>
    <row r="617" spans="1:39" ht="13.15">
      <c r="A617" s="41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W617" s="43"/>
      <c r="X617" s="43"/>
      <c r="Y617" s="43"/>
      <c r="AL617" s="43"/>
      <c r="AM617" s="43"/>
    </row>
    <row r="618" spans="1:39" ht="13.15">
      <c r="A618" s="41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W618" s="43"/>
      <c r="X618" s="43"/>
      <c r="Y618" s="43"/>
      <c r="AL618" s="43"/>
      <c r="AM618" s="43"/>
    </row>
    <row r="619" spans="1:39" ht="13.15">
      <c r="A619" s="41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W619" s="43"/>
      <c r="X619" s="43"/>
      <c r="Y619" s="43"/>
      <c r="AL619" s="43"/>
      <c r="AM619" s="43"/>
    </row>
    <row r="620" spans="1:39" ht="13.15">
      <c r="A620" s="41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W620" s="43"/>
      <c r="X620" s="43"/>
      <c r="Y620" s="43"/>
      <c r="AL620" s="43"/>
      <c r="AM620" s="43"/>
    </row>
    <row r="621" spans="1:39" ht="13.15">
      <c r="A621" s="41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W621" s="43"/>
      <c r="X621" s="43"/>
      <c r="Y621" s="43"/>
      <c r="AL621" s="43"/>
      <c r="AM621" s="43"/>
    </row>
    <row r="622" spans="1:39" ht="13.15">
      <c r="A622" s="41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W622" s="43"/>
      <c r="X622" s="43"/>
      <c r="Y622" s="43"/>
      <c r="AL622" s="43"/>
      <c r="AM622" s="43"/>
    </row>
    <row r="623" spans="1:39" ht="13.15">
      <c r="A623" s="41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W623" s="43"/>
      <c r="X623" s="43"/>
      <c r="Y623" s="43"/>
      <c r="AL623" s="43"/>
      <c r="AM623" s="43"/>
    </row>
    <row r="624" spans="1:39" ht="13.15">
      <c r="A624" s="41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W624" s="43"/>
      <c r="X624" s="43"/>
      <c r="Y624" s="43"/>
      <c r="AL624" s="43"/>
      <c r="AM624" s="43"/>
    </row>
    <row r="625" spans="1:39" ht="13.15">
      <c r="A625" s="41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W625" s="43"/>
      <c r="X625" s="43"/>
      <c r="Y625" s="43"/>
      <c r="AL625" s="43"/>
      <c r="AM625" s="43"/>
    </row>
    <row r="626" spans="1:39" ht="13.15">
      <c r="A626" s="41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W626" s="43"/>
      <c r="X626" s="43"/>
      <c r="Y626" s="43"/>
      <c r="AL626" s="43"/>
      <c r="AM626" s="43"/>
    </row>
    <row r="627" spans="1:39" ht="13.15">
      <c r="A627" s="41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W627" s="43"/>
      <c r="X627" s="43"/>
      <c r="Y627" s="43"/>
      <c r="AL627" s="43"/>
      <c r="AM627" s="43"/>
    </row>
    <row r="628" spans="1:39" ht="13.15">
      <c r="A628" s="41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W628" s="43"/>
      <c r="X628" s="43"/>
      <c r="Y628" s="43"/>
      <c r="AL628" s="43"/>
      <c r="AM628" s="43"/>
    </row>
    <row r="629" spans="1:39" ht="13.15">
      <c r="A629" s="41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W629" s="43"/>
      <c r="X629" s="43"/>
      <c r="Y629" s="43"/>
      <c r="AL629" s="43"/>
      <c r="AM629" s="43"/>
    </row>
    <row r="630" spans="1:39" ht="13.15">
      <c r="A630" s="41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W630" s="43"/>
      <c r="X630" s="43"/>
      <c r="Y630" s="43"/>
      <c r="AL630" s="43"/>
      <c r="AM630" s="43"/>
    </row>
    <row r="631" spans="1:39" ht="13.15">
      <c r="A631" s="41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W631" s="43"/>
      <c r="X631" s="43"/>
      <c r="Y631" s="43"/>
      <c r="AL631" s="43"/>
      <c r="AM631" s="43"/>
    </row>
    <row r="632" spans="1:39" ht="13.15">
      <c r="A632" s="41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W632" s="43"/>
      <c r="X632" s="43"/>
      <c r="Y632" s="43"/>
      <c r="AL632" s="43"/>
      <c r="AM632" s="43"/>
    </row>
    <row r="633" spans="1:39" ht="13.15">
      <c r="A633" s="41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W633" s="43"/>
      <c r="X633" s="43"/>
      <c r="Y633" s="43"/>
      <c r="AL633" s="43"/>
      <c r="AM633" s="43"/>
    </row>
    <row r="634" spans="1:39" ht="13.15">
      <c r="A634" s="41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W634" s="43"/>
      <c r="X634" s="43"/>
      <c r="Y634" s="43"/>
      <c r="AL634" s="43"/>
      <c r="AM634" s="43"/>
    </row>
    <row r="635" spans="1:39" ht="13.15">
      <c r="A635" s="41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W635" s="43"/>
      <c r="X635" s="43"/>
      <c r="Y635" s="43"/>
      <c r="AL635" s="43"/>
      <c r="AM635" s="43"/>
    </row>
    <row r="636" spans="1:39" ht="13.15">
      <c r="A636" s="41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W636" s="43"/>
      <c r="X636" s="43"/>
      <c r="Y636" s="43"/>
      <c r="AL636" s="43"/>
      <c r="AM636" s="43"/>
    </row>
    <row r="637" spans="1:39" ht="13.15">
      <c r="A637" s="41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W637" s="43"/>
      <c r="X637" s="43"/>
      <c r="Y637" s="43"/>
      <c r="AL637" s="43"/>
      <c r="AM637" s="43"/>
    </row>
    <row r="638" spans="1:39" ht="13.15">
      <c r="A638" s="41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W638" s="43"/>
      <c r="X638" s="43"/>
      <c r="Y638" s="43"/>
      <c r="AL638" s="43"/>
      <c r="AM638" s="43"/>
    </row>
    <row r="639" spans="1:39" ht="13.15">
      <c r="A639" s="41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W639" s="43"/>
      <c r="X639" s="43"/>
      <c r="Y639" s="43"/>
      <c r="AL639" s="43"/>
      <c r="AM639" s="43"/>
    </row>
    <row r="640" spans="1:39" ht="13.15">
      <c r="A640" s="41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W640" s="43"/>
      <c r="X640" s="43"/>
      <c r="Y640" s="43"/>
      <c r="AL640" s="43"/>
      <c r="AM640" s="43"/>
    </row>
    <row r="641" spans="1:39" ht="13.15">
      <c r="A641" s="41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W641" s="43"/>
      <c r="X641" s="43"/>
      <c r="Y641" s="43"/>
      <c r="AL641" s="43"/>
      <c r="AM641" s="43"/>
    </row>
    <row r="642" spans="1:39" ht="13.15">
      <c r="A642" s="41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W642" s="43"/>
      <c r="X642" s="43"/>
      <c r="Y642" s="43"/>
      <c r="AL642" s="43"/>
      <c r="AM642" s="43"/>
    </row>
    <row r="643" spans="1:39" ht="13.15">
      <c r="A643" s="41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W643" s="43"/>
      <c r="X643" s="43"/>
      <c r="Y643" s="43"/>
      <c r="AL643" s="43"/>
      <c r="AM643" s="43"/>
    </row>
    <row r="644" spans="1:39" ht="13.15">
      <c r="A644" s="41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W644" s="43"/>
      <c r="X644" s="43"/>
      <c r="Y644" s="43"/>
      <c r="AL644" s="43"/>
      <c r="AM644" s="43"/>
    </row>
    <row r="645" spans="1:39" ht="13.15">
      <c r="A645" s="41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W645" s="43"/>
      <c r="X645" s="43"/>
      <c r="Y645" s="43"/>
      <c r="AL645" s="43"/>
      <c r="AM645" s="43"/>
    </row>
    <row r="646" spans="1:39" ht="13.15">
      <c r="A646" s="41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W646" s="43"/>
      <c r="X646" s="43"/>
      <c r="Y646" s="43"/>
      <c r="AL646" s="43"/>
      <c r="AM646" s="43"/>
    </row>
    <row r="647" spans="1:39" ht="13.15">
      <c r="A647" s="41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W647" s="43"/>
      <c r="X647" s="43"/>
      <c r="Y647" s="43"/>
      <c r="AL647" s="43"/>
      <c r="AM647" s="43"/>
    </row>
    <row r="648" spans="1:39" ht="13.15">
      <c r="A648" s="41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W648" s="43"/>
      <c r="X648" s="43"/>
      <c r="Y648" s="43"/>
      <c r="AL648" s="43"/>
      <c r="AM648" s="43"/>
    </row>
    <row r="649" spans="1:39" ht="13.15">
      <c r="A649" s="41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W649" s="43"/>
      <c r="X649" s="43"/>
      <c r="Y649" s="43"/>
      <c r="AL649" s="43"/>
      <c r="AM649" s="43"/>
    </row>
    <row r="650" spans="1:39" ht="13.15">
      <c r="A650" s="41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W650" s="43"/>
      <c r="X650" s="43"/>
      <c r="Y650" s="43"/>
      <c r="AL650" s="43"/>
      <c r="AM650" s="43"/>
    </row>
    <row r="651" spans="1:39" ht="13.15">
      <c r="A651" s="41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W651" s="43"/>
      <c r="X651" s="43"/>
      <c r="Y651" s="43"/>
      <c r="AL651" s="43"/>
      <c r="AM651" s="43"/>
    </row>
    <row r="652" spans="1:39" ht="13.15">
      <c r="A652" s="41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W652" s="43"/>
      <c r="X652" s="43"/>
      <c r="Y652" s="43"/>
      <c r="AL652" s="43"/>
      <c r="AM652" s="43"/>
    </row>
    <row r="653" spans="1:39" ht="13.15">
      <c r="A653" s="41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W653" s="43"/>
      <c r="X653" s="43"/>
      <c r="Y653" s="43"/>
      <c r="AL653" s="43"/>
      <c r="AM653" s="43"/>
    </row>
    <row r="654" spans="1:39" ht="13.15">
      <c r="A654" s="41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W654" s="43"/>
      <c r="X654" s="43"/>
      <c r="Y654" s="43"/>
      <c r="AL654" s="43"/>
      <c r="AM654" s="43"/>
    </row>
    <row r="655" spans="1:39" ht="13.15">
      <c r="A655" s="41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W655" s="43"/>
      <c r="X655" s="43"/>
      <c r="Y655" s="43"/>
      <c r="AL655" s="43"/>
      <c r="AM655" s="43"/>
    </row>
    <row r="656" spans="1:39" ht="13.15">
      <c r="A656" s="41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W656" s="43"/>
      <c r="X656" s="43"/>
      <c r="Y656" s="43"/>
      <c r="AL656" s="43"/>
      <c r="AM656" s="43"/>
    </row>
    <row r="657" spans="1:39" ht="13.15">
      <c r="A657" s="41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W657" s="43"/>
      <c r="X657" s="43"/>
      <c r="Y657" s="43"/>
      <c r="AL657" s="43"/>
      <c r="AM657" s="43"/>
    </row>
    <row r="658" spans="1:39" ht="13.15">
      <c r="A658" s="41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W658" s="43"/>
      <c r="X658" s="43"/>
      <c r="Y658" s="43"/>
      <c r="AL658" s="43"/>
      <c r="AM658" s="43"/>
    </row>
    <row r="659" spans="1:39" ht="13.15">
      <c r="A659" s="41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W659" s="43"/>
      <c r="X659" s="43"/>
      <c r="Y659" s="43"/>
      <c r="AL659" s="43"/>
      <c r="AM659" s="43"/>
    </row>
    <row r="660" spans="1:39" ht="13.15">
      <c r="A660" s="41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W660" s="43"/>
      <c r="X660" s="43"/>
      <c r="Y660" s="43"/>
      <c r="AL660" s="43"/>
      <c r="AM660" s="43"/>
    </row>
    <row r="661" spans="1:39" ht="13.15">
      <c r="A661" s="41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W661" s="43"/>
      <c r="X661" s="43"/>
      <c r="Y661" s="43"/>
      <c r="AL661" s="43"/>
      <c r="AM661" s="43"/>
    </row>
    <row r="662" spans="1:39" ht="13.15">
      <c r="A662" s="41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W662" s="43"/>
      <c r="X662" s="43"/>
      <c r="Y662" s="43"/>
      <c r="AL662" s="43"/>
      <c r="AM662" s="43"/>
    </row>
    <row r="663" spans="1:39" ht="13.15">
      <c r="A663" s="41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W663" s="43"/>
      <c r="X663" s="43"/>
      <c r="Y663" s="43"/>
      <c r="AL663" s="43"/>
      <c r="AM663" s="43"/>
    </row>
    <row r="664" spans="1:39" ht="13.15">
      <c r="A664" s="41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W664" s="43"/>
      <c r="X664" s="43"/>
      <c r="Y664" s="43"/>
      <c r="AL664" s="43"/>
      <c r="AM664" s="43"/>
    </row>
    <row r="665" spans="1:39" ht="13.15">
      <c r="A665" s="41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W665" s="43"/>
      <c r="X665" s="43"/>
      <c r="Y665" s="43"/>
      <c r="AL665" s="43"/>
      <c r="AM665" s="43"/>
    </row>
    <row r="666" spans="1:39" ht="13.15">
      <c r="A666" s="41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W666" s="43"/>
      <c r="X666" s="43"/>
      <c r="Y666" s="43"/>
      <c r="AL666" s="43"/>
      <c r="AM666" s="43"/>
    </row>
    <row r="667" spans="1:39" ht="13.15">
      <c r="A667" s="41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W667" s="43"/>
      <c r="X667" s="43"/>
      <c r="Y667" s="43"/>
      <c r="AL667" s="43"/>
      <c r="AM667" s="43"/>
    </row>
    <row r="668" spans="1:39" ht="13.15">
      <c r="A668" s="41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W668" s="43"/>
      <c r="X668" s="43"/>
      <c r="Y668" s="43"/>
      <c r="AL668" s="43"/>
      <c r="AM668" s="43"/>
    </row>
    <row r="669" spans="1:39" ht="13.15">
      <c r="A669" s="41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W669" s="43"/>
      <c r="X669" s="43"/>
      <c r="Y669" s="43"/>
      <c r="AL669" s="43"/>
      <c r="AM669" s="43"/>
    </row>
    <row r="670" spans="1:39" ht="13.15">
      <c r="A670" s="41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W670" s="43"/>
      <c r="X670" s="43"/>
      <c r="Y670" s="43"/>
      <c r="AL670" s="43"/>
      <c r="AM670" s="43"/>
    </row>
    <row r="671" spans="1:39" ht="13.15">
      <c r="A671" s="41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W671" s="43"/>
      <c r="X671" s="43"/>
      <c r="Y671" s="43"/>
      <c r="AL671" s="43"/>
      <c r="AM671" s="43"/>
    </row>
    <row r="672" spans="1:39" ht="13.15">
      <c r="A672" s="41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W672" s="43"/>
      <c r="X672" s="43"/>
      <c r="Y672" s="43"/>
      <c r="AL672" s="43"/>
      <c r="AM672" s="43"/>
    </row>
    <row r="673" spans="1:39" ht="13.15">
      <c r="A673" s="41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W673" s="43"/>
      <c r="X673" s="43"/>
      <c r="Y673" s="43"/>
      <c r="AL673" s="43"/>
      <c r="AM673" s="43"/>
    </row>
    <row r="674" spans="1:39" ht="13.15">
      <c r="A674" s="41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W674" s="43"/>
      <c r="X674" s="43"/>
      <c r="Y674" s="43"/>
      <c r="AL674" s="43"/>
      <c r="AM674" s="43"/>
    </row>
    <row r="675" spans="1:39" ht="13.15">
      <c r="A675" s="41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W675" s="43"/>
      <c r="X675" s="43"/>
      <c r="Y675" s="43"/>
      <c r="AL675" s="43"/>
      <c r="AM675" s="43"/>
    </row>
    <row r="676" spans="1:39" ht="13.15">
      <c r="A676" s="41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W676" s="43"/>
      <c r="X676" s="43"/>
      <c r="Y676" s="43"/>
      <c r="AL676" s="43"/>
      <c r="AM676" s="43"/>
    </row>
    <row r="677" spans="1:39" ht="13.15">
      <c r="A677" s="41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W677" s="43"/>
      <c r="X677" s="43"/>
      <c r="Y677" s="43"/>
      <c r="AL677" s="43"/>
      <c r="AM677" s="43"/>
    </row>
    <row r="678" spans="1:39" ht="13.15">
      <c r="A678" s="41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W678" s="43"/>
      <c r="X678" s="43"/>
      <c r="Y678" s="43"/>
      <c r="AL678" s="43"/>
      <c r="AM678" s="43"/>
    </row>
    <row r="679" spans="1:39" ht="13.15">
      <c r="A679" s="41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W679" s="43"/>
      <c r="X679" s="43"/>
      <c r="Y679" s="43"/>
      <c r="AL679" s="43"/>
      <c r="AM679" s="43"/>
    </row>
    <row r="680" spans="1:39" ht="13.15">
      <c r="A680" s="41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W680" s="43"/>
      <c r="X680" s="43"/>
      <c r="Y680" s="43"/>
      <c r="AL680" s="43"/>
      <c r="AM680" s="43"/>
    </row>
    <row r="681" spans="1:39" ht="13.15">
      <c r="A681" s="41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W681" s="43"/>
      <c r="X681" s="43"/>
      <c r="Y681" s="43"/>
      <c r="AL681" s="43"/>
      <c r="AM681" s="43"/>
    </row>
    <row r="682" spans="1:39" ht="13.15">
      <c r="A682" s="41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W682" s="43"/>
      <c r="X682" s="43"/>
      <c r="Y682" s="43"/>
      <c r="AL682" s="43"/>
      <c r="AM682" s="43"/>
    </row>
    <row r="683" spans="1:39" ht="13.15">
      <c r="A683" s="41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W683" s="43"/>
      <c r="X683" s="43"/>
      <c r="Y683" s="43"/>
      <c r="AL683" s="43"/>
      <c r="AM683" s="43"/>
    </row>
    <row r="684" spans="1:39" ht="13.15">
      <c r="A684" s="41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W684" s="43"/>
      <c r="X684" s="43"/>
      <c r="Y684" s="43"/>
      <c r="AL684" s="43"/>
      <c r="AM684" s="43"/>
    </row>
    <row r="685" spans="1:39" ht="13.15">
      <c r="A685" s="41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W685" s="43"/>
      <c r="X685" s="43"/>
      <c r="Y685" s="43"/>
      <c r="AL685" s="43"/>
      <c r="AM685" s="43"/>
    </row>
    <row r="686" spans="1:39" ht="13.15">
      <c r="A686" s="41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W686" s="43"/>
      <c r="X686" s="43"/>
      <c r="Y686" s="43"/>
      <c r="AL686" s="43"/>
      <c r="AM686" s="43"/>
    </row>
    <row r="687" spans="1:39" ht="13.15">
      <c r="A687" s="41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W687" s="43"/>
      <c r="X687" s="43"/>
      <c r="Y687" s="43"/>
      <c r="AL687" s="43"/>
      <c r="AM687" s="43"/>
    </row>
    <row r="688" spans="1:39" ht="13.15">
      <c r="A688" s="41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W688" s="43"/>
      <c r="X688" s="43"/>
      <c r="Y688" s="43"/>
      <c r="AL688" s="43"/>
      <c r="AM688" s="43"/>
    </row>
    <row r="689" spans="1:39" ht="13.15">
      <c r="A689" s="41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W689" s="43"/>
      <c r="X689" s="43"/>
      <c r="Y689" s="43"/>
      <c r="AL689" s="43"/>
      <c r="AM689" s="43"/>
    </row>
    <row r="690" spans="1:39" ht="13.15">
      <c r="A690" s="41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W690" s="43"/>
      <c r="X690" s="43"/>
      <c r="Y690" s="43"/>
      <c r="AL690" s="43"/>
      <c r="AM690" s="43"/>
    </row>
    <row r="691" spans="1:39" ht="13.15">
      <c r="A691" s="41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W691" s="43"/>
      <c r="X691" s="43"/>
      <c r="Y691" s="43"/>
      <c r="AL691" s="43"/>
      <c r="AM691" s="43"/>
    </row>
    <row r="692" spans="1:39" ht="13.15">
      <c r="A692" s="41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W692" s="43"/>
      <c r="X692" s="43"/>
      <c r="Y692" s="43"/>
      <c r="AL692" s="43"/>
      <c r="AM692" s="43"/>
    </row>
    <row r="693" spans="1:39" ht="13.15">
      <c r="A693" s="41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W693" s="43"/>
      <c r="X693" s="43"/>
      <c r="Y693" s="43"/>
      <c r="AL693" s="43"/>
      <c r="AM693" s="43"/>
    </row>
    <row r="694" spans="1:39" ht="13.15">
      <c r="A694" s="41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W694" s="43"/>
      <c r="X694" s="43"/>
      <c r="Y694" s="43"/>
      <c r="AL694" s="43"/>
      <c r="AM694" s="43"/>
    </row>
    <row r="695" spans="1:39" ht="13.15">
      <c r="A695" s="41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W695" s="43"/>
      <c r="X695" s="43"/>
      <c r="Y695" s="43"/>
      <c r="AL695" s="43"/>
      <c r="AM695" s="43"/>
    </row>
    <row r="696" spans="1:39" ht="13.15">
      <c r="A696" s="41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W696" s="43"/>
      <c r="X696" s="43"/>
      <c r="Y696" s="43"/>
      <c r="AL696" s="43"/>
      <c r="AM696" s="43"/>
    </row>
    <row r="697" spans="1:39" ht="13.15">
      <c r="A697" s="41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W697" s="43"/>
      <c r="X697" s="43"/>
      <c r="Y697" s="43"/>
      <c r="AL697" s="43"/>
      <c r="AM697" s="43"/>
    </row>
    <row r="698" spans="1:39" ht="13.15">
      <c r="A698" s="41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W698" s="43"/>
      <c r="X698" s="43"/>
      <c r="Y698" s="43"/>
      <c r="AL698" s="43"/>
      <c r="AM698" s="43"/>
    </row>
    <row r="699" spans="1:39" ht="13.15">
      <c r="A699" s="41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W699" s="43"/>
      <c r="X699" s="43"/>
      <c r="Y699" s="43"/>
      <c r="AL699" s="43"/>
      <c r="AM699" s="43"/>
    </row>
    <row r="700" spans="1:39" ht="13.15">
      <c r="A700" s="41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W700" s="43"/>
      <c r="X700" s="43"/>
      <c r="Y700" s="43"/>
      <c r="AL700" s="43"/>
      <c r="AM700" s="43"/>
    </row>
    <row r="701" spans="1:39" ht="13.15">
      <c r="A701" s="41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W701" s="43"/>
      <c r="X701" s="43"/>
      <c r="Y701" s="43"/>
      <c r="AL701" s="43"/>
      <c r="AM701" s="43"/>
    </row>
    <row r="702" spans="1:39" ht="13.15">
      <c r="A702" s="41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W702" s="43"/>
      <c r="X702" s="43"/>
      <c r="Y702" s="43"/>
      <c r="AL702" s="43"/>
      <c r="AM702" s="43"/>
    </row>
    <row r="703" spans="1:39" ht="13.15">
      <c r="A703" s="41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W703" s="43"/>
      <c r="X703" s="43"/>
      <c r="Y703" s="43"/>
      <c r="AL703" s="43"/>
      <c r="AM703" s="43"/>
    </row>
    <row r="704" spans="1:39" ht="13.15">
      <c r="A704" s="41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W704" s="43"/>
      <c r="X704" s="43"/>
      <c r="Y704" s="43"/>
      <c r="AL704" s="43"/>
      <c r="AM704" s="43"/>
    </row>
    <row r="705" spans="1:39" ht="13.15">
      <c r="A705" s="41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W705" s="43"/>
      <c r="X705" s="43"/>
      <c r="Y705" s="43"/>
      <c r="AL705" s="43"/>
      <c r="AM705" s="43"/>
    </row>
    <row r="706" spans="1:39" ht="13.15">
      <c r="A706" s="41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W706" s="43"/>
      <c r="X706" s="43"/>
      <c r="Y706" s="43"/>
      <c r="AL706" s="43"/>
      <c r="AM706" s="43"/>
    </row>
    <row r="707" spans="1:39" ht="13.15">
      <c r="A707" s="41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W707" s="43"/>
      <c r="X707" s="43"/>
      <c r="Y707" s="43"/>
      <c r="AL707" s="43"/>
      <c r="AM707" s="43"/>
    </row>
    <row r="708" spans="1:39" ht="13.15">
      <c r="A708" s="41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W708" s="43"/>
      <c r="X708" s="43"/>
      <c r="Y708" s="43"/>
      <c r="AL708" s="43"/>
      <c r="AM708" s="43"/>
    </row>
    <row r="709" spans="1:39" ht="13.15">
      <c r="A709" s="41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W709" s="43"/>
      <c r="X709" s="43"/>
      <c r="Y709" s="43"/>
      <c r="AL709" s="43"/>
      <c r="AM709" s="43"/>
    </row>
    <row r="710" spans="1:39" ht="13.15">
      <c r="A710" s="41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W710" s="43"/>
      <c r="X710" s="43"/>
      <c r="Y710" s="43"/>
      <c r="AL710" s="43"/>
      <c r="AM710" s="43"/>
    </row>
    <row r="711" spans="1:39" ht="13.15">
      <c r="A711" s="41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W711" s="43"/>
      <c r="X711" s="43"/>
      <c r="Y711" s="43"/>
      <c r="AL711" s="43"/>
      <c r="AM711" s="43"/>
    </row>
    <row r="712" spans="1:39" ht="13.15">
      <c r="A712" s="41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W712" s="43"/>
      <c r="X712" s="43"/>
      <c r="Y712" s="43"/>
      <c r="AL712" s="43"/>
      <c r="AM712" s="43"/>
    </row>
    <row r="713" spans="1:39" ht="13.15">
      <c r="A713" s="41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W713" s="43"/>
      <c r="X713" s="43"/>
      <c r="Y713" s="43"/>
      <c r="AL713" s="43"/>
      <c r="AM713" s="43"/>
    </row>
    <row r="714" spans="1:39" ht="13.15">
      <c r="A714" s="41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W714" s="43"/>
      <c r="X714" s="43"/>
      <c r="Y714" s="43"/>
      <c r="AL714" s="43"/>
      <c r="AM714" s="43"/>
    </row>
    <row r="715" spans="1:39" ht="13.15">
      <c r="A715" s="41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W715" s="43"/>
      <c r="X715" s="43"/>
      <c r="Y715" s="43"/>
      <c r="AL715" s="43"/>
      <c r="AM715" s="43"/>
    </row>
    <row r="716" spans="1:39" ht="13.15">
      <c r="A716" s="41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W716" s="43"/>
      <c r="X716" s="43"/>
      <c r="Y716" s="43"/>
      <c r="AL716" s="43"/>
      <c r="AM716" s="43"/>
    </row>
    <row r="717" spans="1:39" ht="13.15">
      <c r="A717" s="41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W717" s="43"/>
      <c r="X717" s="43"/>
      <c r="Y717" s="43"/>
      <c r="AL717" s="43"/>
      <c r="AM717" s="43"/>
    </row>
    <row r="718" spans="1:39" ht="13.15">
      <c r="A718" s="41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W718" s="43"/>
      <c r="X718" s="43"/>
      <c r="Y718" s="43"/>
      <c r="AL718" s="43"/>
      <c r="AM718" s="43"/>
    </row>
    <row r="719" spans="1:39" ht="13.15">
      <c r="A719" s="41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W719" s="43"/>
      <c r="X719" s="43"/>
      <c r="Y719" s="43"/>
      <c r="AL719" s="43"/>
      <c r="AM719" s="43"/>
    </row>
    <row r="720" spans="1:39" ht="13.15">
      <c r="A720" s="41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W720" s="43"/>
      <c r="X720" s="43"/>
      <c r="Y720" s="43"/>
      <c r="AL720" s="43"/>
      <c r="AM720" s="43"/>
    </row>
    <row r="721" spans="1:39" ht="13.15">
      <c r="A721" s="41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W721" s="43"/>
      <c r="X721" s="43"/>
      <c r="Y721" s="43"/>
      <c r="AL721" s="43"/>
      <c r="AM721" s="43"/>
    </row>
    <row r="722" spans="1:39" ht="13.15">
      <c r="A722" s="41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W722" s="43"/>
      <c r="X722" s="43"/>
      <c r="Y722" s="43"/>
      <c r="AL722" s="43"/>
      <c r="AM722" s="43"/>
    </row>
    <row r="723" spans="1:39" ht="13.15">
      <c r="A723" s="41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W723" s="43"/>
      <c r="X723" s="43"/>
      <c r="Y723" s="43"/>
      <c r="AL723" s="43"/>
      <c r="AM723" s="43"/>
    </row>
    <row r="724" spans="1:39" ht="13.15">
      <c r="A724" s="41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W724" s="43"/>
      <c r="X724" s="43"/>
      <c r="Y724" s="43"/>
      <c r="AL724" s="43"/>
      <c r="AM724" s="43"/>
    </row>
    <row r="725" spans="1:39" ht="13.15">
      <c r="A725" s="41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W725" s="43"/>
      <c r="X725" s="43"/>
      <c r="Y725" s="43"/>
      <c r="AL725" s="43"/>
      <c r="AM725" s="43"/>
    </row>
    <row r="726" spans="1:39" ht="13.15">
      <c r="A726" s="41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W726" s="43"/>
      <c r="X726" s="43"/>
      <c r="Y726" s="43"/>
      <c r="AL726" s="43"/>
      <c r="AM726" s="43"/>
    </row>
    <row r="727" spans="1:39" ht="13.15">
      <c r="A727" s="41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W727" s="43"/>
      <c r="X727" s="43"/>
      <c r="Y727" s="43"/>
      <c r="AL727" s="43"/>
      <c r="AM727" s="43"/>
    </row>
    <row r="728" spans="1:39" ht="13.15">
      <c r="A728" s="41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W728" s="43"/>
      <c r="X728" s="43"/>
      <c r="Y728" s="43"/>
      <c r="AL728" s="43"/>
      <c r="AM728" s="43"/>
    </row>
    <row r="729" spans="1:39" ht="13.15">
      <c r="A729" s="41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W729" s="43"/>
      <c r="X729" s="43"/>
      <c r="Y729" s="43"/>
      <c r="AL729" s="43"/>
      <c r="AM729" s="43"/>
    </row>
    <row r="730" spans="1:39" ht="13.15">
      <c r="A730" s="41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W730" s="43"/>
      <c r="X730" s="43"/>
      <c r="Y730" s="43"/>
      <c r="AL730" s="43"/>
      <c r="AM730" s="43"/>
    </row>
    <row r="731" spans="1:39" ht="13.15">
      <c r="A731" s="41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W731" s="43"/>
      <c r="X731" s="43"/>
      <c r="Y731" s="43"/>
      <c r="AL731" s="43"/>
      <c r="AM731" s="43"/>
    </row>
    <row r="732" spans="1:39" ht="13.15">
      <c r="A732" s="41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W732" s="43"/>
      <c r="X732" s="43"/>
      <c r="Y732" s="43"/>
      <c r="AL732" s="43"/>
      <c r="AM732" s="43"/>
    </row>
    <row r="733" spans="1:39" ht="13.15">
      <c r="A733" s="41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W733" s="43"/>
      <c r="X733" s="43"/>
      <c r="Y733" s="43"/>
      <c r="AL733" s="43"/>
      <c r="AM733" s="43"/>
    </row>
    <row r="734" spans="1:39" ht="13.15">
      <c r="A734" s="41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W734" s="43"/>
      <c r="X734" s="43"/>
      <c r="Y734" s="43"/>
      <c r="AL734" s="43"/>
      <c r="AM734" s="43"/>
    </row>
    <row r="735" spans="1:39" ht="13.15">
      <c r="A735" s="41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W735" s="43"/>
      <c r="X735" s="43"/>
      <c r="Y735" s="43"/>
      <c r="AL735" s="43"/>
      <c r="AM735" s="43"/>
    </row>
    <row r="736" spans="1:39" ht="13.15">
      <c r="A736" s="41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W736" s="43"/>
      <c r="X736" s="43"/>
      <c r="Y736" s="43"/>
      <c r="AL736" s="43"/>
      <c r="AM736" s="43"/>
    </row>
    <row r="737" spans="1:39" ht="13.15">
      <c r="A737" s="41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W737" s="43"/>
      <c r="X737" s="43"/>
      <c r="Y737" s="43"/>
      <c r="AL737" s="43"/>
      <c r="AM737" s="43"/>
    </row>
    <row r="738" spans="1:39" ht="13.15">
      <c r="A738" s="41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W738" s="43"/>
      <c r="X738" s="43"/>
      <c r="Y738" s="43"/>
      <c r="AL738" s="43"/>
      <c r="AM738" s="43"/>
    </row>
    <row r="739" spans="1:39" ht="13.15">
      <c r="A739" s="41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W739" s="43"/>
      <c r="X739" s="43"/>
      <c r="Y739" s="43"/>
      <c r="AL739" s="43"/>
      <c r="AM739" s="43"/>
    </row>
    <row r="740" spans="1:39" ht="13.15">
      <c r="A740" s="41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W740" s="43"/>
      <c r="X740" s="43"/>
      <c r="Y740" s="43"/>
      <c r="AL740" s="43"/>
      <c r="AM740" s="43"/>
    </row>
    <row r="741" spans="1:39" ht="13.15">
      <c r="A741" s="41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W741" s="43"/>
      <c r="X741" s="43"/>
      <c r="Y741" s="43"/>
      <c r="AL741" s="43"/>
      <c r="AM741" s="43"/>
    </row>
    <row r="742" spans="1:39" ht="13.15">
      <c r="A742" s="41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W742" s="43"/>
      <c r="X742" s="43"/>
      <c r="Y742" s="43"/>
      <c r="AL742" s="43"/>
      <c r="AM742" s="43"/>
    </row>
    <row r="743" spans="1:39" ht="13.15">
      <c r="A743" s="41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W743" s="43"/>
      <c r="X743" s="43"/>
      <c r="Y743" s="43"/>
      <c r="AL743" s="43"/>
      <c r="AM743" s="43"/>
    </row>
    <row r="744" spans="1:39" ht="13.15">
      <c r="A744" s="41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W744" s="43"/>
      <c r="X744" s="43"/>
      <c r="Y744" s="43"/>
      <c r="AL744" s="43"/>
      <c r="AM744" s="43"/>
    </row>
    <row r="745" spans="1:39" ht="13.15">
      <c r="A745" s="41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W745" s="43"/>
      <c r="X745" s="43"/>
      <c r="Y745" s="43"/>
      <c r="AL745" s="43"/>
      <c r="AM745" s="43"/>
    </row>
    <row r="746" spans="1:39" ht="13.15">
      <c r="A746" s="41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W746" s="43"/>
      <c r="X746" s="43"/>
      <c r="Y746" s="43"/>
      <c r="AL746" s="43"/>
      <c r="AM746" s="43"/>
    </row>
    <row r="747" spans="1:39" ht="13.15">
      <c r="A747" s="41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W747" s="43"/>
      <c r="X747" s="43"/>
      <c r="Y747" s="43"/>
      <c r="AL747" s="43"/>
      <c r="AM747" s="43"/>
    </row>
    <row r="748" spans="1:39" ht="13.15">
      <c r="A748" s="41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W748" s="43"/>
      <c r="X748" s="43"/>
      <c r="Y748" s="43"/>
      <c r="AL748" s="43"/>
      <c r="AM748" s="43"/>
    </row>
    <row r="749" spans="1:39" ht="13.15">
      <c r="A749" s="41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W749" s="43"/>
      <c r="X749" s="43"/>
      <c r="Y749" s="43"/>
      <c r="AL749" s="43"/>
      <c r="AM749" s="43"/>
    </row>
    <row r="750" spans="1:39" ht="13.15">
      <c r="A750" s="41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W750" s="43"/>
      <c r="X750" s="43"/>
      <c r="Y750" s="43"/>
      <c r="AL750" s="43"/>
      <c r="AM750" s="43"/>
    </row>
    <row r="751" spans="1:39" ht="13.15">
      <c r="A751" s="41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W751" s="43"/>
      <c r="X751" s="43"/>
      <c r="Y751" s="43"/>
      <c r="AL751" s="43"/>
      <c r="AM751" s="43"/>
    </row>
    <row r="752" spans="1:39" ht="13.15">
      <c r="A752" s="41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W752" s="43"/>
      <c r="X752" s="43"/>
      <c r="Y752" s="43"/>
      <c r="AL752" s="43"/>
      <c r="AM752" s="43"/>
    </row>
    <row r="753" spans="1:39" ht="13.15">
      <c r="A753" s="41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W753" s="43"/>
      <c r="X753" s="43"/>
      <c r="Y753" s="43"/>
      <c r="AL753" s="43"/>
      <c r="AM753" s="43"/>
    </row>
    <row r="754" spans="1:39" ht="13.15">
      <c r="A754" s="41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W754" s="43"/>
      <c r="X754" s="43"/>
      <c r="Y754" s="43"/>
      <c r="AL754" s="43"/>
      <c r="AM754" s="43"/>
    </row>
    <row r="755" spans="1:39" ht="13.15">
      <c r="A755" s="41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W755" s="43"/>
      <c r="X755" s="43"/>
      <c r="Y755" s="43"/>
      <c r="AL755" s="43"/>
      <c r="AM755" s="43"/>
    </row>
    <row r="756" spans="1:39" ht="13.15">
      <c r="A756" s="41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W756" s="43"/>
      <c r="X756" s="43"/>
      <c r="Y756" s="43"/>
      <c r="AL756" s="43"/>
      <c r="AM756" s="43"/>
    </row>
    <row r="757" spans="1:39" ht="13.15">
      <c r="A757" s="41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W757" s="43"/>
      <c r="X757" s="43"/>
      <c r="Y757" s="43"/>
      <c r="AL757" s="43"/>
      <c r="AM757" s="43"/>
    </row>
    <row r="758" spans="1:39" ht="13.15">
      <c r="A758" s="41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W758" s="43"/>
      <c r="X758" s="43"/>
      <c r="Y758" s="43"/>
      <c r="AL758" s="43"/>
      <c r="AM758" s="43"/>
    </row>
    <row r="759" spans="1:39" ht="13.15">
      <c r="A759" s="41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W759" s="43"/>
      <c r="X759" s="43"/>
      <c r="Y759" s="43"/>
      <c r="AL759" s="43"/>
      <c r="AM759" s="43"/>
    </row>
    <row r="760" spans="1:39" ht="13.15">
      <c r="A760" s="41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W760" s="43"/>
      <c r="X760" s="43"/>
      <c r="Y760" s="43"/>
      <c r="AL760" s="43"/>
      <c r="AM760" s="43"/>
    </row>
    <row r="761" spans="1:39" ht="13.15">
      <c r="A761" s="41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W761" s="43"/>
      <c r="X761" s="43"/>
      <c r="Y761" s="43"/>
      <c r="AL761" s="43"/>
      <c r="AM761" s="43"/>
    </row>
    <row r="762" spans="1:39" ht="13.15">
      <c r="A762" s="41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W762" s="43"/>
      <c r="X762" s="43"/>
      <c r="Y762" s="43"/>
      <c r="AL762" s="43"/>
      <c r="AM762" s="43"/>
    </row>
    <row r="763" spans="1:39" ht="13.15">
      <c r="A763" s="41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W763" s="43"/>
      <c r="X763" s="43"/>
      <c r="Y763" s="43"/>
      <c r="AL763" s="43"/>
      <c r="AM763" s="43"/>
    </row>
    <row r="764" spans="1:39" ht="13.15">
      <c r="A764" s="41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W764" s="43"/>
      <c r="X764" s="43"/>
      <c r="Y764" s="43"/>
      <c r="AL764" s="43"/>
      <c r="AM764" s="43"/>
    </row>
    <row r="765" spans="1:39" ht="13.15">
      <c r="A765" s="41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W765" s="43"/>
      <c r="X765" s="43"/>
      <c r="Y765" s="43"/>
      <c r="AL765" s="43"/>
      <c r="AM765" s="43"/>
    </row>
    <row r="766" spans="1:39" ht="13.15">
      <c r="A766" s="41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W766" s="43"/>
      <c r="X766" s="43"/>
      <c r="Y766" s="43"/>
      <c r="AL766" s="43"/>
      <c r="AM766" s="43"/>
    </row>
    <row r="767" spans="1:39" ht="13.15">
      <c r="A767" s="41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W767" s="43"/>
      <c r="X767" s="43"/>
      <c r="Y767" s="43"/>
      <c r="AL767" s="43"/>
      <c r="AM767" s="43"/>
    </row>
    <row r="768" spans="1:39" ht="13.15">
      <c r="A768" s="41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W768" s="43"/>
      <c r="X768" s="43"/>
      <c r="Y768" s="43"/>
      <c r="AL768" s="43"/>
      <c r="AM768" s="43"/>
    </row>
    <row r="769" spans="1:39" ht="13.15">
      <c r="A769" s="41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W769" s="43"/>
      <c r="X769" s="43"/>
      <c r="Y769" s="43"/>
      <c r="AL769" s="43"/>
      <c r="AM769" s="43"/>
    </row>
    <row r="770" spans="1:39" ht="13.15">
      <c r="A770" s="41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W770" s="43"/>
      <c r="X770" s="43"/>
      <c r="Y770" s="43"/>
      <c r="AL770" s="43"/>
      <c r="AM770" s="43"/>
    </row>
    <row r="771" spans="1:39" ht="13.15">
      <c r="A771" s="41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W771" s="43"/>
      <c r="X771" s="43"/>
      <c r="Y771" s="43"/>
      <c r="AL771" s="43"/>
      <c r="AM771" s="43"/>
    </row>
    <row r="772" spans="1:39" ht="13.15">
      <c r="A772" s="41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W772" s="43"/>
      <c r="X772" s="43"/>
      <c r="Y772" s="43"/>
      <c r="AL772" s="43"/>
      <c r="AM772" s="43"/>
    </row>
    <row r="773" spans="1:39" ht="13.15">
      <c r="A773" s="41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W773" s="43"/>
      <c r="X773" s="43"/>
      <c r="Y773" s="43"/>
      <c r="AL773" s="43"/>
      <c r="AM773" s="43"/>
    </row>
    <row r="774" spans="1:39" ht="13.15">
      <c r="A774" s="41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W774" s="43"/>
      <c r="X774" s="43"/>
      <c r="Y774" s="43"/>
      <c r="AL774" s="43"/>
      <c r="AM774" s="43"/>
    </row>
    <row r="775" spans="1:39" ht="13.15">
      <c r="A775" s="41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W775" s="43"/>
      <c r="X775" s="43"/>
      <c r="Y775" s="43"/>
      <c r="AL775" s="43"/>
      <c r="AM775" s="43"/>
    </row>
    <row r="776" spans="1:39" ht="13.15">
      <c r="A776" s="41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W776" s="43"/>
      <c r="X776" s="43"/>
      <c r="Y776" s="43"/>
      <c r="AL776" s="43"/>
      <c r="AM776" s="43"/>
    </row>
    <row r="777" spans="1:39" ht="13.15">
      <c r="A777" s="41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W777" s="43"/>
      <c r="X777" s="43"/>
      <c r="Y777" s="43"/>
      <c r="AL777" s="43"/>
      <c r="AM777" s="43"/>
    </row>
    <row r="778" spans="1:39" ht="13.15">
      <c r="A778" s="41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W778" s="43"/>
      <c r="X778" s="43"/>
      <c r="Y778" s="43"/>
      <c r="AL778" s="43"/>
      <c r="AM778" s="43"/>
    </row>
    <row r="779" spans="1:39" ht="13.15">
      <c r="A779" s="41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W779" s="43"/>
      <c r="X779" s="43"/>
      <c r="Y779" s="43"/>
      <c r="AL779" s="43"/>
      <c r="AM779" s="43"/>
    </row>
    <row r="780" spans="1:39" ht="13.15">
      <c r="A780" s="41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W780" s="43"/>
      <c r="X780" s="43"/>
      <c r="Y780" s="43"/>
      <c r="AL780" s="43"/>
      <c r="AM780" s="43"/>
    </row>
    <row r="781" spans="1:39" ht="13.15">
      <c r="A781" s="41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W781" s="43"/>
      <c r="X781" s="43"/>
      <c r="Y781" s="43"/>
      <c r="AL781" s="43"/>
      <c r="AM781" s="43"/>
    </row>
    <row r="782" spans="1:39" ht="13.15">
      <c r="A782" s="41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W782" s="43"/>
      <c r="X782" s="43"/>
      <c r="Y782" s="43"/>
      <c r="AL782" s="43"/>
      <c r="AM782" s="43"/>
    </row>
    <row r="783" spans="1:39" ht="13.15">
      <c r="A783" s="41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W783" s="43"/>
      <c r="X783" s="43"/>
      <c r="Y783" s="43"/>
      <c r="AL783" s="43"/>
      <c r="AM783" s="43"/>
    </row>
    <row r="784" spans="1:39" ht="13.15">
      <c r="A784" s="41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W784" s="43"/>
      <c r="X784" s="43"/>
      <c r="Y784" s="43"/>
      <c r="AL784" s="43"/>
      <c r="AM784" s="43"/>
    </row>
    <row r="785" spans="1:39" ht="13.15">
      <c r="A785" s="41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W785" s="43"/>
      <c r="X785" s="43"/>
      <c r="Y785" s="43"/>
      <c r="AL785" s="43"/>
      <c r="AM785" s="43"/>
    </row>
    <row r="786" spans="1:39" ht="13.15">
      <c r="A786" s="41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W786" s="43"/>
      <c r="X786" s="43"/>
      <c r="Y786" s="43"/>
      <c r="AL786" s="43"/>
      <c r="AM786" s="43"/>
    </row>
    <row r="787" spans="1:39" ht="13.15">
      <c r="A787" s="41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W787" s="43"/>
      <c r="X787" s="43"/>
      <c r="Y787" s="43"/>
      <c r="AL787" s="43"/>
      <c r="AM787" s="43"/>
    </row>
    <row r="788" spans="1:39" ht="13.15">
      <c r="A788" s="41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W788" s="43"/>
      <c r="X788" s="43"/>
      <c r="Y788" s="43"/>
      <c r="AL788" s="43"/>
      <c r="AM788" s="43"/>
    </row>
    <row r="789" spans="1:39" ht="13.15">
      <c r="A789" s="41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W789" s="43"/>
      <c r="X789" s="43"/>
      <c r="Y789" s="43"/>
      <c r="AL789" s="43"/>
      <c r="AM789" s="43"/>
    </row>
    <row r="790" spans="1:39" ht="13.15">
      <c r="A790" s="41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W790" s="43"/>
      <c r="X790" s="43"/>
      <c r="Y790" s="43"/>
      <c r="AL790" s="43"/>
      <c r="AM790" s="43"/>
    </row>
    <row r="791" spans="1:39" ht="13.15">
      <c r="A791" s="41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W791" s="43"/>
      <c r="X791" s="43"/>
      <c r="Y791" s="43"/>
      <c r="AL791" s="43"/>
      <c r="AM791" s="43"/>
    </row>
    <row r="792" spans="1:39" ht="13.15">
      <c r="A792" s="41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W792" s="43"/>
      <c r="X792" s="43"/>
      <c r="Y792" s="43"/>
      <c r="AL792" s="43"/>
      <c r="AM792" s="43"/>
    </row>
    <row r="793" spans="1:39" ht="13.15">
      <c r="A793" s="41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W793" s="43"/>
      <c r="X793" s="43"/>
      <c r="Y793" s="43"/>
      <c r="AL793" s="43"/>
      <c r="AM793" s="43"/>
    </row>
    <row r="794" spans="1:39" ht="13.15">
      <c r="A794" s="41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W794" s="43"/>
      <c r="X794" s="43"/>
      <c r="Y794" s="43"/>
      <c r="AL794" s="43"/>
      <c r="AM794" s="43"/>
    </row>
    <row r="795" spans="1:39" ht="13.15">
      <c r="A795" s="41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W795" s="43"/>
      <c r="X795" s="43"/>
      <c r="Y795" s="43"/>
      <c r="AL795" s="43"/>
      <c r="AM795" s="43"/>
    </row>
    <row r="796" spans="1:39" ht="13.15">
      <c r="A796" s="41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W796" s="43"/>
      <c r="X796" s="43"/>
      <c r="Y796" s="43"/>
      <c r="AL796" s="43"/>
      <c r="AM796" s="43"/>
    </row>
    <row r="797" spans="1:39" ht="13.15">
      <c r="A797" s="41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W797" s="43"/>
      <c r="X797" s="43"/>
      <c r="Y797" s="43"/>
      <c r="AL797" s="43"/>
      <c r="AM797" s="43"/>
    </row>
    <row r="798" spans="1:39" ht="13.15">
      <c r="A798" s="41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W798" s="43"/>
      <c r="X798" s="43"/>
      <c r="Y798" s="43"/>
      <c r="AL798" s="43"/>
      <c r="AM798" s="43"/>
    </row>
    <row r="799" spans="1:39" ht="13.15">
      <c r="A799" s="41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W799" s="43"/>
      <c r="X799" s="43"/>
      <c r="Y799" s="43"/>
      <c r="AL799" s="43"/>
      <c r="AM799" s="43"/>
    </row>
    <row r="800" spans="1:39" ht="13.15">
      <c r="A800" s="41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W800" s="43"/>
      <c r="X800" s="43"/>
      <c r="Y800" s="43"/>
      <c r="AL800" s="43"/>
      <c r="AM800" s="43"/>
    </row>
    <row r="801" spans="1:39" ht="13.15">
      <c r="A801" s="41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W801" s="43"/>
      <c r="X801" s="43"/>
      <c r="Y801" s="43"/>
      <c r="AL801" s="43"/>
      <c r="AM801" s="43"/>
    </row>
    <row r="802" spans="1:39" ht="13.15">
      <c r="A802" s="41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W802" s="43"/>
      <c r="X802" s="43"/>
      <c r="Y802" s="43"/>
      <c r="AL802" s="43"/>
      <c r="AM802" s="43"/>
    </row>
    <row r="803" spans="1:39" ht="13.15">
      <c r="A803" s="41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W803" s="43"/>
      <c r="X803" s="43"/>
      <c r="Y803" s="43"/>
      <c r="AL803" s="43"/>
      <c r="AM803" s="43"/>
    </row>
    <row r="804" spans="1:39" ht="13.15">
      <c r="A804" s="41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W804" s="43"/>
      <c r="X804" s="43"/>
      <c r="Y804" s="43"/>
      <c r="AL804" s="43"/>
      <c r="AM804" s="43"/>
    </row>
    <row r="805" spans="1:39" ht="13.15">
      <c r="A805" s="41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W805" s="43"/>
      <c r="X805" s="43"/>
      <c r="Y805" s="43"/>
      <c r="AL805" s="43"/>
      <c r="AM805" s="43"/>
    </row>
    <row r="806" spans="1:39" ht="13.15">
      <c r="A806" s="41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W806" s="43"/>
      <c r="X806" s="43"/>
      <c r="Y806" s="43"/>
      <c r="AL806" s="43"/>
      <c r="AM806" s="43"/>
    </row>
    <row r="807" spans="1:39" ht="13.15">
      <c r="A807" s="41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W807" s="43"/>
      <c r="X807" s="43"/>
      <c r="Y807" s="43"/>
      <c r="AL807" s="43"/>
      <c r="AM807" s="43"/>
    </row>
    <row r="808" spans="1:39" ht="13.15">
      <c r="A808" s="41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W808" s="43"/>
      <c r="X808" s="43"/>
      <c r="Y808" s="43"/>
      <c r="AL808" s="43"/>
      <c r="AM808" s="43"/>
    </row>
    <row r="809" spans="1:39" ht="13.15">
      <c r="A809" s="41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W809" s="43"/>
      <c r="X809" s="43"/>
      <c r="Y809" s="43"/>
      <c r="AL809" s="43"/>
      <c r="AM809" s="43"/>
    </row>
    <row r="810" spans="1:39" ht="13.15">
      <c r="A810" s="41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W810" s="43"/>
      <c r="X810" s="43"/>
      <c r="Y810" s="43"/>
      <c r="AL810" s="43"/>
      <c r="AM810" s="43"/>
    </row>
    <row r="811" spans="1:39" ht="13.15">
      <c r="A811" s="41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W811" s="43"/>
      <c r="X811" s="43"/>
      <c r="Y811" s="43"/>
      <c r="AL811" s="43"/>
      <c r="AM811" s="43"/>
    </row>
    <row r="812" spans="1:39" ht="13.15">
      <c r="A812" s="41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W812" s="43"/>
      <c r="X812" s="43"/>
      <c r="Y812" s="43"/>
      <c r="AL812" s="43"/>
      <c r="AM812" s="43"/>
    </row>
    <row r="813" spans="1:39" ht="13.15">
      <c r="A813" s="41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W813" s="43"/>
      <c r="X813" s="43"/>
      <c r="Y813" s="43"/>
      <c r="AL813" s="43"/>
      <c r="AM813" s="43"/>
    </row>
    <row r="814" spans="1:39" ht="13.15">
      <c r="A814" s="41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W814" s="43"/>
      <c r="X814" s="43"/>
      <c r="Y814" s="43"/>
      <c r="AL814" s="43"/>
      <c r="AM814" s="43"/>
    </row>
    <row r="815" spans="1:39" ht="13.15">
      <c r="A815" s="41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W815" s="43"/>
      <c r="X815" s="43"/>
      <c r="Y815" s="43"/>
      <c r="AL815" s="43"/>
      <c r="AM815" s="43"/>
    </row>
    <row r="816" spans="1:39" ht="13.15">
      <c r="A816" s="41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W816" s="43"/>
      <c r="X816" s="43"/>
      <c r="Y816" s="43"/>
      <c r="AL816" s="43"/>
      <c r="AM816" s="43"/>
    </row>
    <row r="817" spans="1:39" ht="13.15">
      <c r="A817" s="41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W817" s="43"/>
      <c r="X817" s="43"/>
      <c r="Y817" s="43"/>
      <c r="AL817" s="43"/>
      <c r="AM817" s="43"/>
    </row>
    <row r="818" spans="1:39" ht="13.15">
      <c r="A818" s="41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W818" s="43"/>
      <c r="X818" s="43"/>
      <c r="Y818" s="43"/>
      <c r="AL818" s="43"/>
      <c r="AM818" s="43"/>
    </row>
    <row r="819" spans="1:39" ht="13.15">
      <c r="A819" s="41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W819" s="43"/>
      <c r="X819" s="43"/>
      <c r="Y819" s="43"/>
      <c r="AL819" s="43"/>
      <c r="AM819" s="43"/>
    </row>
    <row r="820" spans="1:39" ht="13.15">
      <c r="A820" s="41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W820" s="43"/>
      <c r="X820" s="43"/>
      <c r="Y820" s="43"/>
      <c r="AL820" s="43"/>
      <c r="AM820" s="43"/>
    </row>
    <row r="821" spans="1:39" ht="13.15">
      <c r="A821" s="41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W821" s="43"/>
      <c r="X821" s="43"/>
      <c r="Y821" s="43"/>
      <c r="AL821" s="43"/>
      <c r="AM821" s="43"/>
    </row>
    <row r="822" spans="1:39" ht="13.15">
      <c r="A822" s="41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W822" s="43"/>
      <c r="X822" s="43"/>
      <c r="Y822" s="43"/>
      <c r="AL822" s="43"/>
      <c r="AM822" s="43"/>
    </row>
    <row r="823" spans="1:39" ht="13.15">
      <c r="A823" s="41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W823" s="43"/>
      <c r="X823" s="43"/>
      <c r="Y823" s="43"/>
      <c r="AL823" s="43"/>
      <c r="AM823" s="43"/>
    </row>
    <row r="824" spans="1:39" ht="13.15">
      <c r="A824" s="41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W824" s="43"/>
      <c r="X824" s="43"/>
      <c r="Y824" s="43"/>
      <c r="AL824" s="43"/>
      <c r="AM824" s="43"/>
    </row>
    <row r="825" spans="1:39" ht="13.15">
      <c r="A825" s="41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W825" s="43"/>
      <c r="X825" s="43"/>
      <c r="Y825" s="43"/>
      <c r="AL825" s="43"/>
      <c r="AM825" s="43"/>
    </row>
    <row r="826" spans="1:39" ht="13.15">
      <c r="A826" s="41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W826" s="43"/>
      <c r="X826" s="43"/>
      <c r="Y826" s="43"/>
      <c r="AL826" s="43"/>
      <c r="AM826" s="43"/>
    </row>
    <row r="827" spans="1:39" ht="13.15">
      <c r="A827" s="41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W827" s="43"/>
      <c r="X827" s="43"/>
      <c r="Y827" s="43"/>
      <c r="AL827" s="43"/>
      <c r="AM827" s="43"/>
    </row>
    <row r="828" spans="1:39" ht="13.15">
      <c r="A828" s="41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W828" s="43"/>
      <c r="X828" s="43"/>
      <c r="Y828" s="43"/>
      <c r="AL828" s="43"/>
      <c r="AM828" s="43"/>
    </row>
    <row r="829" spans="1:39" ht="13.15">
      <c r="A829" s="41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W829" s="43"/>
      <c r="X829" s="43"/>
      <c r="Y829" s="43"/>
      <c r="AL829" s="43"/>
      <c r="AM829" s="43"/>
    </row>
    <row r="830" spans="1:39" ht="13.15">
      <c r="A830" s="41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W830" s="43"/>
      <c r="X830" s="43"/>
      <c r="Y830" s="43"/>
      <c r="AL830" s="43"/>
      <c r="AM830" s="43"/>
    </row>
    <row r="831" spans="1:39" ht="13.15">
      <c r="A831" s="41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W831" s="43"/>
      <c r="X831" s="43"/>
      <c r="Y831" s="43"/>
      <c r="AL831" s="43"/>
      <c r="AM831" s="43"/>
    </row>
    <row r="832" spans="1:39" ht="13.15">
      <c r="A832" s="41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W832" s="43"/>
      <c r="X832" s="43"/>
      <c r="Y832" s="43"/>
      <c r="AL832" s="43"/>
      <c r="AM832" s="43"/>
    </row>
    <row r="833" spans="1:39" ht="13.15">
      <c r="A833" s="41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W833" s="43"/>
      <c r="X833" s="43"/>
      <c r="Y833" s="43"/>
      <c r="AL833" s="43"/>
      <c r="AM833" s="43"/>
    </row>
    <row r="834" spans="1:39" ht="13.15">
      <c r="A834" s="41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W834" s="43"/>
      <c r="X834" s="43"/>
      <c r="Y834" s="43"/>
      <c r="AL834" s="43"/>
      <c r="AM834" s="43"/>
    </row>
    <row r="835" spans="1:39" ht="13.15">
      <c r="A835" s="41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W835" s="43"/>
      <c r="X835" s="43"/>
      <c r="Y835" s="43"/>
      <c r="AL835" s="43"/>
      <c r="AM835" s="43"/>
    </row>
    <row r="836" spans="1:39" ht="13.15">
      <c r="A836" s="41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W836" s="43"/>
      <c r="X836" s="43"/>
      <c r="Y836" s="43"/>
      <c r="AL836" s="43"/>
      <c r="AM836" s="43"/>
    </row>
    <row r="837" spans="1:39" ht="13.15">
      <c r="A837" s="41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W837" s="43"/>
      <c r="X837" s="43"/>
      <c r="Y837" s="43"/>
      <c r="AL837" s="43"/>
      <c r="AM837" s="43"/>
    </row>
    <row r="838" spans="1:39" ht="13.15">
      <c r="A838" s="41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W838" s="43"/>
      <c r="X838" s="43"/>
      <c r="Y838" s="43"/>
      <c r="AL838" s="43"/>
      <c r="AM838" s="43"/>
    </row>
    <row r="839" spans="1:39" ht="13.15">
      <c r="A839" s="41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W839" s="43"/>
      <c r="X839" s="43"/>
      <c r="Y839" s="43"/>
      <c r="AL839" s="43"/>
      <c r="AM839" s="43"/>
    </row>
    <row r="840" spans="1:39" ht="13.15">
      <c r="A840" s="41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W840" s="43"/>
      <c r="X840" s="43"/>
      <c r="Y840" s="43"/>
      <c r="AL840" s="43"/>
      <c r="AM840" s="43"/>
    </row>
    <row r="841" spans="1:39" ht="13.15">
      <c r="A841" s="41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W841" s="43"/>
      <c r="X841" s="43"/>
      <c r="Y841" s="43"/>
      <c r="AL841" s="43"/>
      <c r="AM841" s="43"/>
    </row>
    <row r="842" spans="1:39" ht="13.15">
      <c r="A842" s="41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W842" s="43"/>
      <c r="X842" s="43"/>
      <c r="Y842" s="43"/>
      <c r="AL842" s="43"/>
      <c r="AM842" s="43"/>
    </row>
    <row r="843" spans="1:39" ht="13.15">
      <c r="A843" s="41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W843" s="43"/>
      <c r="X843" s="43"/>
      <c r="Y843" s="43"/>
      <c r="AL843" s="43"/>
      <c r="AM843" s="43"/>
    </row>
    <row r="844" spans="1:39" ht="13.15">
      <c r="A844" s="41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W844" s="43"/>
      <c r="X844" s="43"/>
      <c r="Y844" s="43"/>
      <c r="AL844" s="43"/>
      <c r="AM844" s="43"/>
    </row>
    <row r="845" spans="1:39" ht="13.15">
      <c r="A845" s="41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W845" s="43"/>
      <c r="X845" s="43"/>
      <c r="Y845" s="43"/>
      <c r="AL845" s="43"/>
      <c r="AM845" s="43"/>
    </row>
    <row r="846" spans="1:39" ht="13.15">
      <c r="A846" s="41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W846" s="43"/>
      <c r="X846" s="43"/>
      <c r="Y846" s="43"/>
      <c r="AL846" s="43"/>
      <c r="AM846" s="43"/>
    </row>
    <row r="847" spans="1:39" ht="13.15">
      <c r="A847" s="41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W847" s="43"/>
      <c r="X847" s="43"/>
      <c r="Y847" s="43"/>
      <c r="AL847" s="43"/>
      <c r="AM847" s="43"/>
    </row>
    <row r="848" spans="1:39" ht="13.15">
      <c r="A848" s="41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W848" s="43"/>
      <c r="X848" s="43"/>
      <c r="Y848" s="43"/>
      <c r="AL848" s="43"/>
      <c r="AM848" s="43"/>
    </row>
    <row r="849" spans="1:39" ht="13.15">
      <c r="A849" s="41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W849" s="43"/>
      <c r="X849" s="43"/>
      <c r="Y849" s="43"/>
      <c r="AL849" s="43"/>
      <c r="AM849" s="43"/>
    </row>
    <row r="850" spans="1:39" ht="13.15">
      <c r="A850" s="41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W850" s="43"/>
      <c r="X850" s="43"/>
      <c r="Y850" s="43"/>
      <c r="AL850" s="43"/>
      <c r="AM850" s="43"/>
    </row>
    <row r="851" spans="1:39" ht="13.15">
      <c r="A851" s="41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W851" s="43"/>
      <c r="X851" s="43"/>
      <c r="Y851" s="43"/>
      <c r="AL851" s="43"/>
      <c r="AM851" s="43"/>
    </row>
    <row r="852" spans="1:39" ht="13.15">
      <c r="A852" s="41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W852" s="43"/>
      <c r="X852" s="43"/>
      <c r="Y852" s="43"/>
      <c r="AL852" s="43"/>
      <c r="AM852" s="43"/>
    </row>
    <row r="853" spans="1:39" ht="13.15">
      <c r="A853" s="41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W853" s="43"/>
      <c r="X853" s="43"/>
      <c r="Y853" s="43"/>
      <c r="AL853" s="43"/>
      <c r="AM853" s="43"/>
    </row>
    <row r="854" spans="1:39" ht="13.15">
      <c r="A854" s="41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W854" s="43"/>
      <c r="X854" s="43"/>
      <c r="Y854" s="43"/>
      <c r="AL854" s="43"/>
      <c r="AM854" s="43"/>
    </row>
    <row r="855" spans="1:39" ht="13.15">
      <c r="A855" s="41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W855" s="43"/>
      <c r="X855" s="43"/>
      <c r="Y855" s="43"/>
      <c r="AL855" s="43"/>
      <c r="AM855" s="43"/>
    </row>
    <row r="856" spans="1:39" ht="13.15">
      <c r="A856" s="41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W856" s="43"/>
      <c r="X856" s="43"/>
      <c r="Y856" s="43"/>
      <c r="AL856" s="43"/>
      <c r="AM856" s="43"/>
    </row>
    <row r="857" spans="1:39" ht="13.15">
      <c r="A857" s="41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W857" s="43"/>
      <c r="X857" s="43"/>
      <c r="Y857" s="43"/>
      <c r="AL857" s="43"/>
      <c r="AM857" s="43"/>
    </row>
    <row r="858" spans="1:39" ht="13.15">
      <c r="A858" s="41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W858" s="43"/>
      <c r="X858" s="43"/>
      <c r="Y858" s="43"/>
      <c r="AL858" s="43"/>
      <c r="AM858" s="43"/>
    </row>
    <row r="859" spans="1:39" ht="13.15">
      <c r="A859" s="41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W859" s="43"/>
      <c r="X859" s="43"/>
      <c r="Y859" s="43"/>
      <c r="AL859" s="43"/>
      <c r="AM859" s="43"/>
    </row>
    <row r="860" spans="1:39" ht="13.15">
      <c r="A860" s="41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W860" s="43"/>
      <c r="X860" s="43"/>
      <c r="Y860" s="43"/>
      <c r="AL860" s="43"/>
      <c r="AM860" s="43"/>
    </row>
    <row r="861" spans="1:39" ht="13.15">
      <c r="A861" s="41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W861" s="43"/>
      <c r="X861" s="43"/>
      <c r="Y861" s="43"/>
      <c r="AL861" s="43"/>
      <c r="AM861" s="43"/>
    </row>
    <row r="862" spans="1:39" ht="13.15">
      <c r="A862" s="41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W862" s="43"/>
      <c r="X862" s="43"/>
      <c r="Y862" s="43"/>
      <c r="AL862" s="43"/>
      <c r="AM862" s="43"/>
    </row>
    <row r="863" spans="1:39" ht="13.15">
      <c r="A863" s="41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W863" s="43"/>
      <c r="X863" s="43"/>
      <c r="Y863" s="43"/>
      <c r="AL863" s="43"/>
      <c r="AM863" s="43"/>
    </row>
    <row r="864" spans="1:39" ht="13.15">
      <c r="A864" s="41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W864" s="43"/>
      <c r="X864" s="43"/>
      <c r="Y864" s="43"/>
      <c r="AL864" s="43"/>
      <c r="AM864" s="43"/>
    </row>
    <row r="865" spans="1:39" ht="13.15">
      <c r="A865" s="41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W865" s="43"/>
      <c r="X865" s="43"/>
      <c r="Y865" s="43"/>
      <c r="AL865" s="43"/>
      <c r="AM865" s="43"/>
    </row>
    <row r="866" spans="1:39" ht="13.15">
      <c r="A866" s="41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W866" s="43"/>
      <c r="X866" s="43"/>
      <c r="Y866" s="43"/>
      <c r="AL866" s="43"/>
      <c r="AM866" s="43"/>
    </row>
    <row r="867" spans="1:39" ht="13.15">
      <c r="A867" s="41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W867" s="43"/>
      <c r="X867" s="43"/>
      <c r="Y867" s="43"/>
      <c r="AL867" s="43"/>
      <c r="AM867" s="43"/>
    </row>
    <row r="868" spans="1:39" ht="13.15">
      <c r="A868" s="41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W868" s="43"/>
      <c r="X868" s="43"/>
      <c r="Y868" s="43"/>
      <c r="AL868" s="43"/>
      <c r="AM868" s="43"/>
    </row>
    <row r="869" spans="1:39" ht="13.15">
      <c r="A869" s="41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W869" s="43"/>
      <c r="X869" s="43"/>
      <c r="Y869" s="43"/>
      <c r="AL869" s="43"/>
      <c r="AM869" s="43"/>
    </row>
    <row r="870" spans="1:39" ht="13.15">
      <c r="A870" s="41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W870" s="43"/>
      <c r="X870" s="43"/>
      <c r="Y870" s="43"/>
      <c r="AL870" s="43"/>
      <c r="AM870" s="43"/>
    </row>
    <row r="871" spans="1:39" ht="13.15">
      <c r="A871" s="41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W871" s="43"/>
      <c r="X871" s="43"/>
      <c r="Y871" s="43"/>
      <c r="AL871" s="43"/>
      <c r="AM871" s="43"/>
    </row>
    <row r="872" spans="1:39" ht="13.15">
      <c r="A872" s="41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W872" s="43"/>
      <c r="X872" s="43"/>
      <c r="Y872" s="43"/>
      <c r="AL872" s="43"/>
      <c r="AM872" s="43"/>
    </row>
    <row r="873" spans="1:39" ht="13.15">
      <c r="A873" s="41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W873" s="43"/>
      <c r="X873" s="43"/>
      <c r="Y873" s="43"/>
      <c r="AL873" s="43"/>
      <c r="AM873" s="43"/>
    </row>
    <row r="874" spans="1:39" ht="13.15">
      <c r="A874" s="41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W874" s="43"/>
      <c r="X874" s="43"/>
      <c r="Y874" s="43"/>
      <c r="AL874" s="43"/>
      <c r="AM874" s="43"/>
    </row>
    <row r="875" spans="1:39" ht="13.15">
      <c r="A875" s="41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W875" s="43"/>
      <c r="X875" s="43"/>
      <c r="Y875" s="43"/>
      <c r="AL875" s="43"/>
      <c r="AM875" s="43"/>
    </row>
    <row r="876" spans="1:39" ht="13.15">
      <c r="A876" s="41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W876" s="43"/>
      <c r="X876" s="43"/>
      <c r="Y876" s="43"/>
      <c r="AL876" s="43"/>
      <c r="AM876" s="43"/>
    </row>
    <row r="877" spans="1:39" ht="13.15">
      <c r="A877" s="41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W877" s="43"/>
      <c r="X877" s="43"/>
      <c r="Y877" s="43"/>
      <c r="AL877" s="43"/>
      <c r="AM877" s="43"/>
    </row>
    <row r="878" spans="1:39" ht="13.15">
      <c r="A878" s="41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W878" s="43"/>
      <c r="X878" s="43"/>
      <c r="Y878" s="43"/>
      <c r="AL878" s="43"/>
      <c r="AM878" s="43"/>
    </row>
    <row r="879" spans="1:39" ht="13.15">
      <c r="A879" s="41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W879" s="43"/>
      <c r="X879" s="43"/>
      <c r="Y879" s="43"/>
      <c r="AL879" s="43"/>
      <c r="AM879" s="43"/>
    </row>
    <row r="880" spans="1:39" ht="13.15">
      <c r="A880" s="41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W880" s="43"/>
      <c r="X880" s="43"/>
      <c r="Y880" s="43"/>
      <c r="AL880" s="43"/>
      <c r="AM880" s="43"/>
    </row>
    <row r="881" spans="1:39" ht="13.15">
      <c r="A881" s="41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W881" s="43"/>
      <c r="X881" s="43"/>
      <c r="Y881" s="43"/>
      <c r="AL881" s="43"/>
      <c r="AM881" s="43"/>
    </row>
    <row r="882" spans="1:39" ht="13.15">
      <c r="A882" s="41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W882" s="43"/>
      <c r="X882" s="43"/>
      <c r="Y882" s="43"/>
      <c r="AL882" s="43"/>
      <c r="AM882" s="43"/>
    </row>
    <row r="883" spans="1:39" ht="13.15">
      <c r="A883" s="41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W883" s="43"/>
      <c r="X883" s="43"/>
      <c r="Y883" s="43"/>
      <c r="AL883" s="43"/>
      <c r="AM883" s="43"/>
    </row>
    <row r="884" spans="1:39" ht="13.15">
      <c r="A884" s="41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W884" s="43"/>
      <c r="X884" s="43"/>
      <c r="Y884" s="43"/>
      <c r="AL884" s="43"/>
      <c r="AM884" s="43"/>
    </row>
    <row r="885" spans="1:39" ht="13.15">
      <c r="A885" s="41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W885" s="43"/>
      <c r="X885" s="43"/>
      <c r="Y885" s="43"/>
      <c r="AL885" s="43"/>
      <c r="AM885" s="43"/>
    </row>
    <row r="886" spans="1:39" ht="13.15">
      <c r="A886" s="41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W886" s="43"/>
      <c r="X886" s="43"/>
      <c r="Y886" s="43"/>
      <c r="AL886" s="43"/>
      <c r="AM886" s="43"/>
    </row>
    <row r="887" spans="1:39" ht="13.15">
      <c r="A887" s="41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W887" s="43"/>
      <c r="X887" s="43"/>
      <c r="Y887" s="43"/>
      <c r="AL887" s="43"/>
      <c r="AM887" s="43"/>
    </row>
    <row r="888" spans="1:39" ht="13.15">
      <c r="A888" s="41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W888" s="43"/>
      <c r="X888" s="43"/>
      <c r="Y888" s="43"/>
      <c r="AL888" s="43"/>
      <c r="AM888" s="43"/>
    </row>
    <row r="889" spans="1:39" ht="13.15">
      <c r="A889" s="41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W889" s="43"/>
      <c r="X889" s="43"/>
      <c r="Y889" s="43"/>
      <c r="AL889" s="43"/>
      <c r="AM889" s="43"/>
    </row>
    <row r="890" spans="1:39" ht="13.15">
      <c r="A890" s="41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W890" s="43"/>
      <c r="X890" s="43"/>
      <c r="Y890" s="43"/>
      <c r="AL890" s="43"/>
      <c r="AM890" s="43"/>
    </row>
    <row r="891" spans="1:39" ht="13.15">
      <c r="A891" s="41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W891" s="43"/>
      <c r="X891" s="43"/>
      <c r="Y891" s="43"/>
      <c r="AL891" s="43"/>
      <c r="AM891" s="43"/>
    </row>
    <row r="892" spans="1:39" ht="13.15">
      <c r="A892" s="41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W892" s="43"/>
      <c r="X892" s="43"/>
      <c r="Y892" s="43"/>
      <c r="AL892" s="43"/>
      <c r="AM892" s="43"/>
    </row>
    <row r="893" spans="1:39" ht="13.15">
      <c r="A893" s="41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W893" s="43"/>
      <c r="X893" s="43"/>
      <c r="Y893" s="43"/>
      <c r="AL893" s="43"/>
      <c r="AM893" s="43"/>
    </row>
    <row r="894" spans="1:39" ht="13.15">
      <c r="A894" s="41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W894" s="43"/>
      <c r="X894" s="43"/>
      <c r="Y894" s="43"/>
      <c r="AL894" s="43"/>
      <c r="AM894" s="43"/>
    </row>
    <row r="895" spans="1:39" ht="13.15">
      <c r="A895" s="41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W895" s="43"/>
      <c r="X895" s="43"/>
      <c r="Y895" s="43"/>
      <c r="AL895" s="43"/>
      <c r="AM895" s="43"/>
    </row>
    <row r="896" spans="1:39" ht="13.15">
      <c r="A896" s="41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W896" s="43"/>
      <c r="X896" s="43"/>
      <c r="Y896" s="43"/>
      <c r="AL896" s="43"/>
      <c r="AM896" s="43"/>
    </row>
    <row r="897" spans="1:39" ht="13.15">
      <c r="A897" s="41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W897" s="43"/>
      <c r="X897" s="43"/>
      <c r="Y897" s="43"/>
      <c r="AL897" s="43"/>
      <c r="AM897" s="43"/>
    </row>
    <row r="898" spans="1:39" ht="13.15">
      <c r="A898" s="41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W898" s="43"/>
      <c r="X898" s="43"/>
      <c r="Y898" s="43"/>
      <c r="AL898" s="43"/>
      <c r="AM898" s="43"/>
    </row>
    <row r="899" spans="1:39" ht="13.15">
      <c r="A899" s="41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W899" s="43"/>
      <c r="X899" s="43"/>
      <c r="Y899" s="43"/>
      <c r="AL899" s="43"/>
      <c r="AM899" s="43"/>
    </row>
    <row r="900" spans="1:39" ht="13.15">
      <c r="A900" s="41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W900" s="43"/>
      <c r="X900" s="43"/>
      <c r="Y900" s="43"/>
      <c r="AL900" s="43"/>
      <c r="AM900" s="43"/>
    </row>
    <row r="901" spans="1:39" ht="13.15">
      <c r="A901" s="41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W901" s="43"/>
      <c r="X901" s="43"/>
      <c r="Y901" s="43"/>
      <c r="AL901" s="43"/>
      <c r="AM901" s="43"/>
    </row>
    <row r="902" spans="1:39" ht="13.15">
      <c r="A902" s="41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W902" s="43"/>
      <c r="X902" s="43"/>
      <c r="Y902" s="43"/>
      <c r="AL902" s="43"/>
      <c r="AM902" s="43"/>
    </row>
    <row r="903" spans="1:39" ht="13.15">
      <c r="A903" s="41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W903" s="43"/>
      <c r="X903" s="43"/>
      <c r="Y903" s="43"/>
      <c r="AL903" s="43"/>
      <c r="AM903" s="43"/>
    </row>
    <row r="904" spans="1:39" ht="13.15">
      <c r="A904" s="41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W904" s="43"/>
      <c r="X904" s="43"/>
      <c r="Y904" s="43"/>
      <c r="AL904" s="43"/>
      <c r="AM904" s="43"/>
    </row>
    <row r="905" spans="1:39" ht="13.15">
      <c r="A905" s="41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W905" s="43"/>
      <c r="X905" s="43"/>
      <c r="Y905" s="43"/>
      <c r="AL905" s="43"/>
      <c r="AM905" s="43"/>
    </row>
    <row r="906" spans="1:39" ht="13.15">
      <c r="A906" s="41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W906" s="43"/>
      <c r="X906" s="43"/>
      <c r="Y906" s="43"/>
      <c r="AL906" s="43"/>
      <c r="AM906" s="43"/>
    </row>
    <row r="907" spans="1:39" ht="13.15">
      <c r="A907" s="41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W907" s="43"/>
      <c r="X907" s="43"/>
      <c r="Y907" s="43"/>
      <c r="AL907" s="43"/>
      <c r="AM907" s="43"/>
    </row>
    <row r="908" spans="1:39" ht="13.15">
      <c r="A908" s="41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W908" s="43"/>
      <c r="X908" s="43"/>
      <c r="Y908" s="43"/>
      <c r="AL908" s="43"/>
      <c r="AM908" s="43"/>
    </row>
    <row r="909" spans="1:39" ht="13.15">
      <c r="A909" s="41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W909" s="43"/>
      <c r="X909" s="43"/>
      <c r="Y909" s="43"/>
      <c r="AL909" s="43"/>
      <c r="AM909" s="43"/>
    </row>
    <row r="910" spans="1:39" ht="13.15">
      <c r="A910" s="41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W910" s="43"/>
      <c r="X910" s="43"/>
      <c r="Y910" s="43"/>
      <c r="AL910" s="43"/>
      <c r="AM910" s="43"/>
    </row>
    <row r="911" spans="1:39" ht="13.15">
      <c r="A911" s="41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W911" s="43"/>
      <c r="X911" s="43"/>
      <c r="Y911" s="43"/>
      <c r="AL911" s="43"/>
      <c r="AM911" s="43"/>
    </row>
    <row r="912" spans="1:39" ht="13.15">
      <c r="A912" s="41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W912" s="43"/>
      <c r="X912" s="43"/>
      <c r="Y912" s="43"/>
      <c r="AL912" s="43"/>
      <c r="AM912" s="43"/>
    </row>
    <row r="913" spans="1:39" ht="13.15">
      <c r="A913" s="41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W913" s="43"/>
      <c r="X913" s="43"/>
      <c r="Y913" s="43"/>
      <c r="AL913" s="43"/>
      <c r="AM913" s="43"/>
    </row>
    <row r="914" spans="1:39" ht="13.15">
      <c r="A914" s="41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W914" s="43"/>
      <c r="X914" s="43"/>
      <c r="Y914" s="43"/>
      <c r="AL914" s="43"/>
      <c r="AM914" s="43"/>
    </row>
    <row r="915" spans="1:39" ht="13.15">
      <c r="A915" s="41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W915" s="43"/>
      <c r="X915" s="43"/>
      <c r="Y915" s="43"/>
      <c r="AL915" s="43"/>
      <c r="AM915" s="43"/>
    </row>
    <row r="916" spans="1:39" ht="13.15">
      <c r="A916" s="41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W916" s="43"/>
      <c r="X916" s="43"/>
      <c r="Y916" s="43"/>
      <c r="AL916" s="43"/>
      <c r="AM916" s="43"/>
    </row>
    <row r="917" spans="1:39" ht="13.15">
      <c r="A917" s="41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W917" s="43"/>
      <c r="X917" s="43"/>
      <c r="Y917" s="43"/>
      <c r="AL917" s="43"/>
      <c r="AM917" s="43"/>
    </row>
    <row r="918" spans="1:39" ht="13.15">
      <c r="A918" s="41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W918" s="43"/>
      <c r="X918" s="43"/>
      <c r="Y918" s="43"/>
      <c r="AL918" s="43"/>
      <c r="AM918" s="43"/>
    </row>
    <row r="919" spans="1:39" ht="13.15">
      <c r="A919" s="41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W919" s="43"/>
      <c r="X919" s="43"/>
      <c r="Y919" s="43"/>
      <c r="AL919" s="43"/>
      <c r="AM919" s="43"/>
    </row>
    <row r="920" spans="1:39" ht="13.15">
      <c r="A920" s="41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W920" s="43"/>
      <c r="X920" s="43"/>
      <c r="Y920" s="43"/>
      <c r="AL920" s="43"/>
      <c r="AM920" s="43"/>
    </row>
    <row r="921" spans="1:39" ht="13.15">
      <c r="A921" s="41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W921" s="43"/>
      <c r="X921" s="43"/>
      <c r="Y921" s="43"/>
      <c r="AL921" s="43"/>
      <c r="AM921" s="43"/>
    </row>
    <row r="922" spans="1:39" ht="13.15">
      <c r="A922" s="41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W922" s="43"/>
      <c r="X922" s="43"/>
      <c r="Y922" s="43"/>
      <c r="AL922" s="43"/>
      <c r="AM922" s="43"/>
    </row>
    <row r="923" spans="1:39" ht="13.15">
      <c r="A923" s="41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W923" s="43"/>
      <c r="X923" s="43"/>
      <c r="Y923" s="43"/>
      <c r="AL923" s="43"/>
      <c r="AM923" s="43"/>
    </row>
    <row r="924" spans="1:39" ht="13.15">
      <c r="A924" s="41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W924" s="43"/>
      <c r="X924" s="43"/>
      <c r="Y924" s="43"/>
      <c r="AL924" s="43"/>
      <c r="AM924" s="43"/>
    </row>
    <row r="925" spans="1:39" ht="13.15">
      <c r="A925" s="41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W925" s="43"/>
      <c r="X925" s="43"/>
      <c r="Y925" s="43"/>
      <c r="AL925" s="43"/>
      <c r="AM925" s="43"/>
    </row>
    <row r="926" spans="1:39" ht="13.15">
      <c r="A926" s="41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W926" s="43"/>
      <c r="X926" s="43"/>
      <c r="Y926" s="43"/>
      <c r="AL926" s="43"/>
      <c r="AM926" s="43"/>
    </row>
    <row r="927" spans="1:39" ht="13.15">
      <c r="A927" s="41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W927" s="43"/>
      <c r="X927" s="43"/>
      <c r="Y927" s="43"/>
      <c r="AL927" s="43"/>
      <c r="AM927" s="43"/>
    </row>
    <row r="928" spans="1:39" ht="13.15">
      <c r="A928" s="41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W928" s="43"/>
      <c r="X928" s="43"/>
      <c r="Y928" s="43"/>
      <c r="AL928" s="43"/>
      <c r="AM928" s="43"/>
    </row>
    <row r="929" spans="1:39" ht="13.15">
      <c r="A929" s="41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W929" s="43"/>
      <c r="X929" s="43"/>
      <c r="Y929" s="43"/>
      <c r="AL929" s="43"/>
      <c r="AM929" s="43"/>
    </row>
    <row r="930" spans="1:39" ht="13.15">
      <c r="A930" s="41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W930" s="43"/>
      <c r="X930" s="43"/>
      <c r="Y930" s="43"/>
      <c r="AL930" s="43"/>
      <c r="AM930" s="43"/>
    </row>
    <row r="931" spans="1:39" ht="13.15">
      <c r="A931" s="41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W931" s="43"/>
      <c r="X931" s="43"/>
      <c r="Y931" s="43"/>
      <c r="AL931" s="43"/>
      <c r="AM931" s="43"/>
    </row>
    <row r="932" spans="1:39" ht="13.15">
      <c r="A932" s="41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W932" s="43"/>
      <c r="X932" s="43"/>
      <c r="Y932" s="43"/>
      <c r="AL932" s="43"/>
      <c r="AM932" s="43"/>
    </row>
    <row r="933" spans="1:39" ht="13.15">
      <c r="A933" s="41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W933" s="43"/>
      <c r="X933" s="43"/>
      <c r="Y933" s="43"/>
      <c r="AL933" s="43"/>
      <c r="AM933" s="43"/>
    </row>
    <row r="934" spans="1:39" ht="13.15">
      <c r="A934" s="41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W934" s="43"/>
      <c r="X934" s="43"/>
      <c r="Y934" s="43"/>
      <c r="AL934" s="43"/>
      <c r="AM934" s="43"/>
    </row>
    <row r="935" spans="1:39" ht="13.15">
      <c r="A935" s="41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W935" s="43"/>
      <c r="X935" s="43"/>
      <c r="Y935" s="43"/>
      <c r="AL935" s="43"/>
      <c r="AM935" s="43"/>
    </row>
    <row r="936" spans="1:39" ht="13.15">
      <c r="A936" s="41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W936" s="43"/>
      <c r="X936" s="43"/>
      <c r="Y936" s="43"/>
      <c r="AL936" s="43"/>
      <c r="AM936" s="43"/>
    </row>
    <row r="937" spans="1:39" ht="13.15">
      <c r="A937" s="41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W937" s="43"/>
      <c r="X937" s="43"/>
      <c r="Y937" s="43"/>
      <c r="AL937" s="43"/>
      <c r="AM937" s="43"/>
    </row>
    <row r="938" spans="1:39" ht="13.15">
      <c r="A938" s="41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W938" s="43"/>
      <c r="X938" s="43"/>
      <c r="Y938" s="43"/>
      <c r="AL938" s="43"/>
      <c r="AM938" s="43"/>
    </row>
    <row r="939" spans="1:39" ht="13.15">
      <c r="A939" s="41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W939" s="43"/>
      <c r="X939" s="43"/>
      <c r="Y939" s="43"/>
      <c r="AL939" s="43"/>
      <c r="AM939" s="43"/>
    </row>
    <row r="940" spans="1:39" ht="13.15">
      <c r="A940" s="41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W940" s="43"/>
      <c r="X940" s="43"/>
      <c r="Y940" s="43"/>
      <c r="AL940" s="43"/>
      <c r="AM940" s="43"/>
    </row>
    <row r="941" spans="1:39" ht="13.15">
      <c r="A941" s="41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W941" s="43"/>
      <c r="X941" s="43"/>
      <c r="Y941" s="43"/>
      <c r="AL941" s="43"/>
      <c r="AM941" s="43"/>
    </row>
    <row r="942" spans="1:39" ht="13.15">
      <c r="A942" s="41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W942" s="43"/>
      <c r="X942" s="43"/>
      <c r="Y942" s="43"/>
      <c r="AL942" s="43"/>
      <c r="AM942" s="43"/>
    </row>
    <row r="943" spans="1:39" ht="13.15">
      <c r="A943" s="41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W943" s="43"/>
      <c r="X943" s="43"/>
      <c r="Y943" s="43"/>
      <c r="AL943" s="43"/>
      <c r="AM943" s="43"/>
    </row>
    <row r="944" spans="1:39" ht="13.15">
      <c r="A944" s="41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W944" s="43"/>
      <c r="X944" s="43"/>
      <c r="Y944" s="43"/>
      <c r="AL944" s="43"/>
      <c r="AM944" s="43"/>
    </row>
    <row r="945" spans="1:39" ht="13.15">
      <c r="A945" s="41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W945" s="43"/>
      <c r="X945" s="43"/>
      <c r="Y945" s="43"/>
      <c r="AL945" s="43"/>
      <c r="AM945" s="43"/>
    </row>
    <row r="946" spans="1:39" ht="13.15">
      <c r="A946" s="41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W946" s="43"/>
      <c r="X946" s="43"/>
      <c r="Y946" s="43"/>
      <c r="AL946" s="43"/>
      <c r="AM946" s="43"/>
    </row>
    <row r="947" spans="1:39" ht="13.15">
      <c r="A947" s="41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W947" s="43"/>
      <c r="X947" s="43"/>
      <c r="Y947" s="43"/>
      <c r="AL947" s="43"/>
      <c r="AM947" s="43"/>
    </row>
    <row r="948" spans="1:39" ht="13.15">
      <c r="A948" s="41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W948" s="43"/>
      <c r="X948" s="43"/>
      <c r="Y948" s="43"/>
      <c r="AL948" s="43"/>
      <c r="AM948" s="43"/>
    </row>
    <row r="949" spans="1:39" ht="13.15">
      <c r="A949" s="41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W949" s="43"/>
      <c r="X949" s="43"/>
      <c r="Y949" s="43"/>
      <c r="AL949" s="43"/>
      <c r="AM949" s="43"/>
    </row>
    <row r="950" spans="1:39" ht="13.15">
      <c r="A950" s="41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W950" s="43"/>
      <c r="X950" s="43"/>
      <c r="Y950" s="43"/>
      <c r="AL950" s="43"/>
      <c r="AM950" s="43"/>
    </row>
    <row r="951" spans="1:39" ht="13.15">
      <c r="A951" s="41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W951" s="43"/>
      <c r="X951" s="43"/>
      <c r="Y951" s="43"/>
      <c r="AL951" s="43"/>
      <c r="AM951" s="43"/>
    </row>
    <row r="952" spans="1:39" ht="13.15">
      <c r="A952" s="41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W952" s="43"/>
      <c r="X952" s="43"/>
      <c r="Y952" s="43"/>
      <c r="AL952" s="43"/>
      <c r="AM952" s="43"/>
    </row>
    <row r="953" spans="1:39" ht="13.15">
      <c r="A953" s="41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W953" s="43"/>
      <c r="X953" s="43"/>
      <c r="Y953" s="43"/>
      <c r="AL953" s="43"/>
      <c r="AM953" s="43"/>
    </row>
    <row r="954" spans="1:39" ht="13.15">
      <c r="A954" s="41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W954" s="43"/>
      <c r="X954" s="43"/>
      <c r="Y954" s="43"/>
      <c r="AL954" s="43"/>
      <c r="AM954" s="43"/>
    </row>
    <row r="955" spans="1:39" ht="13.15">
      <c r="A955" s="41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W955" s="43"/>
      <c r="X955" s="43"/>
      <c r="Y955" s="43"/>
      <c r="AL955" s="43"/>
      <c r="AM955" s="43"/>
    </row>
    <row r="956" spans="1:39" ht="13.15">
      <c r="A956" s="41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W956" s="43"/>
      <c r="X956" s="43"/>
      <c r="Y956" s="43"/>
      <c r="AL956" s="43"/>
      <c r="AM956" s="43"/>
    </row>
    <row r="957" spans="1:39" ht="13.15">
      <c r="A957" s="41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W957" s="43"/>
      <c r="X957" s="43"/>
      <c r="Y957" s="43"/>
      <c r="AL957" s="43"/>
      <c r="AM957" s="43"/>
    </row>
    <row r="958" spans="1:39" ht="13.15">
      <c r="A958" s="41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W958" s="43"/>
      <c r="X958" s="43"/>
      <c r="Y958" s="43"/>
      <c r="AL958" s="43"/>
      <c r="AM958" s="43"/>
    </row>
    <row r="959" spans="1:39" ht="13.15">
      <c r="A959" s="41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W959" s="43"/>
      <c r="X959" s="43"/>
      <c r="Y959" s="43"/>
      <c r="AL959" s="43"/>
      <c r="AM959" s="43"/>
    </row>
    <row r="960" spans="1:39" ht="13.15">
      <c r="A960" s="41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W960" s="43"/>
      <c r="X960" s="43"/>
      <c r="Y960" s="43"/>
      <c r="AL960" s="43"/>
      <c r="AM960" s="43"/>
    </row>
    <row r="961" spans="1:39" ht="13.15">
      <c r="A961" s="41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W961" s="43"/>
      <c r="X961" s="43"/>
      <c r="Y961" s="43"/>
      <c r="AL961" s="43"/>
      <c r="AM961" s="43"/>
    </row>
    <row r="962" spans="1:39" ht="13.15">
      <c r="A962" s="41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W962" s="43"/>
      <c r="X962" s="43"/>
      <c r="Y962" s="43"/>
      <c r="AL962" s="43"/>
      <c r="AM962" s="43"/>
    </row>
    <row r="963" spans="1:39" ht="13.15">
      <c r="A963" s="41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W963" s="43"/>
      <c r="X963" s="43"/>
      <c r="Y963" s="43"/>
      <c r="AL963" s="43"/>
      <c r="AM963" s="43"/>
    </row>
    <row r="964" spans="1:39" ht="13.15">
      <c r="A964" s="41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W964" s="43"/>
      <c r="X964" s="43"/>
      <c r="Y964" s="43"/>
      <c r="AL964" s="43"/>
      <c r="AM964" s="43"/>
    </row>
    <row r="965" spans="1:39" ht="13.15">
      <c r="A965" s="41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W965" s="43"/>
      <c r="X965" s="43"/>
      <c r="Y965" s="43"/>
      <c r="AL965" s="43"/>
      <c r="AM965" s="43"/>
    </row>
    <row r="966" spans="1:39" ht="13.15">
      <c r="A966" s="41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W966" s="43"/>
      <c r="X966" s="43"/>
      <c r="Y966" s="43"/>
      <c r="AL966" s="43"/>
      <c r="AM966" s="43"/>
    </row>
    <row r="967" spans="1:39" ht="13.15">
      <c r="A967" s="41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W967" s="43"/>
      <c r="X967" s="43"/>
      <c r="Y967" s="43"/>
      <c r="AL967" s="43"/>
      <c r="AM967" s="43"/>
    </row>
    <row r="968" spans="1:39" ht="13.15">
      <c r="A968" s="41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W968" s="43"/>
      <c r="X968" s="43"/>
      <c r="Y968" s="43"/>
      <c r="AL968" s="43"/>
      <c r="AM968" s="43"/>
    </row>
    <row r="969" spans="1:39" ht="13.15">
      <c r="A969" s="41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W969" s="43"/>
      <c r="X969" s="43"/>
      <c r="Y969" s="43"/>
      <c r="AL969" s="43"/>
      <c r="AM969" s="43"/>
    </row>
    <row r="970" spans="1:39" ht="13.15">
      <c r="A970" s="41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W970" s="43"/>
      <c r="X970" s="43"/>
      <c r="Y970" s="43"/>
      <c r="AL970" s="43"/>
      <c r="AM970" s="43"/>
    </row>
    <row r="971" spans="1:39" ht="13.15">
      <c r="A971" s="41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W971" s="43"/>
      <c r="X971" s="43"/>
      <c r="Y971" s="43"/>
      <c r="AL971" s="43"/>
      <c r="AM971" s="43"/>
    </row>
    <row r="972" spans="1:39" ht="13.15">
      <c r="A972" s="41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W972" s="43"/>
      <c r="X972" s="43"/>
      <c r="Y972" s="43"/>
      <c r="AL972" s="43"/>
      <c r="AM972" s="43"/>
    </row>
    <row r="973" spans="1:39" ht="13.15">
      <c r="A973" s="41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W973" s="43"/>
      <c r="X973" s="43"/>
      <c r="Y973" s="43"/>
      <c r="AL973" s="43"/>
      <c r="AM973" s="43"/>
    </row>
    <row r="974" spans="1:39" ht="13.15">
      <c r="A974" s="41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W974" s="43"/>
      <c r="X974" s="43"/>
      <c r="Y974" s="43"/>
      <c r="AL974" s="43"/>
      <c r="AM974" s="43"/>
    </row>
    <row r="975" spans="1:39" ht="13.15">
      <c r="A975" s="41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W975" s="43"/>
      <c r="X975" s="43"/>
      <c r="Y975" s="43"/>
      <c r="AL975" s="43"/>
      <c r="AM975" s="43"/>
    </row>
    <row r="976" spans="1:39" ht="13.15">
      <c r="A976" s="41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W976" s="43"/>
      <c r="X976" s="43"/>
      <c r="Y976" s="43"/>
      <c r="AL976" s="43"/>
      <c r="AM976" s="43"/>
    </row>
    <row r="977" spans="1:39" ht="13.15">
      <c r="A977" s="41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W977" s="43"/>
      <c r="X977" s="43"/>
      <c r="Y977" s="43"/>
      <c r="AL977" s="43"/>
      <c r="AM977" s="43"/>
    </row>
    <row r="978" spans="1:39" ht="13.15">
      <c r="A978" s="41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W978" s="43"/>
      <c r="X978" s="43"/>
      <c r="Y978" s="43"/>
      <c r="AL978" s="43"/>
      <c r="AM978" s="43"/>
    </row>
    <row r="979" spans="1:39" ht="13.15">
      <c r="A979" s="41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W979" s="43"/>
      <c r="X979" s="43"/>
      <c r="Y979" s="43"/>
      <c r="AL979" s="43"/>
      <c r="AM979" s="43"/>
    </row>
    <row r="980" spans="1:39" ht="13.15">
      <c r="A980" s="41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W980" s="43"/>
      <c r="X980" s="43"/>
      <c r="Y980" s="43"/>
      <c r="AL980" s="43"/>
      <c r="AM980" s="43"/>
    </row>
    <row r="981" spans="1:39" ht="13.15">
      <c r="A981" s="41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W981" s="43"/>
      <c r="X981" s="43"/>
      <c r="Y981" s="43"/>
      <c r="AL981" s="43"/>
      <c r="AM981" s="43"/>
    </row>
    <row r="982" spans="1:39" ht="13.15">
      <c r="A982" s="41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W982" s="43"/>
      <c r="X982" s="43"/>
      <c r="Y982" s="43"/>
      <c r="AL982" s="43"/>
      <c r="AM982" s="43"/>
    </row>
    <row r="983" spans="1:39" ht="13.15">
      <c r="A983" s="41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W983" s="43"/>
      <c r="X983" s="43"/>
      <c r="Y983" s="43"/>
      <c r="AL983" s="43"/>
      <c r="AM983" s="43"/>
    </row>
    <row r="984" spans="1:39" ht="13.15">
      <c r="A984" s="41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W984" s="43"/>
      <c r="X984" s="43"/>
      <c r="Y984" s="43"/>
      <c r="AL984" s="43"/>
      <c r="AM984" s="43"/>
    </row>
    <row r="985" spans="1:39" ht="13.15">
      <c r="A985" s="41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W985" s="43"/>
      <c r="X985" s="43"/>
      <c r="Y985" s="43"/>
      <c r="AL985" s="43"/>
      <c r="AM985" s="43"/>
    </row>
    <row r="986" spans="1:39" ht="13.15">
      <c r="A986" s="41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W986" s="43"/>
      <c r="X986" s="43"/>
      <c r="Y986" s="43"/>
      <c r="AL986" s="43"/>
      <c r="AM986" s="43"/>
    </row>
    <row r="987" spans="1:39" ht="13.15">
      <c r="A987" s="41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W987" s="43"/>
      <c r="X987" s="43"/>
      <c r="Y987" s="43"/>
      <c r="AL987" s="43"/>
      <c r="AM987" s="43"/>
    </row>
    <row r="988" spans="1:39" ht="13.15">
      <c r="A988" s="41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W988" s="43"/>
      <c r="X988" s="43"/>
      <c r="Y988" s="43"/>
      <c r="AL988" s="43"/>
      <c r="AM988" s="43"/>
    </row>
    <row r="989" spans="1:39" ht="13.15">
      <c r="A989" s="41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W989" s="43"/>
      <c r="X989" s="43"/>
      <c r="Y989" s="43"/>
      <c r="AL989" s="43"/>
      <c r="AM989" s="43"/>
    </row>
    <row r="990" spans="1:39" ht="13.15">
      <c r="A990" s="41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W990" s="43"/>
      <c r="X990" s="43"/>
      <c r="Y990" s="43"/>
      <c r="AL990" s="43"/>
      <c r="AM990" s="43"/>
    </row>
    <row r="991" spans="1:39" ht="13.15">
      <c r="A991" s="41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W991" s="43"/>
      <c r="X991" s="43"/>
      <c r="Y991" s="43"/>
      <c r="AL991" s="43"/>
      <c r="AM991" s="43"/>
    </row>
    <row r="992" spans="1:39" ht="13.15">
      <c r="A992" s="41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W992" s="43"/>
      <c r="X992" s="43"/>
      <c r="Y992" s="43"/>
      <c r="AL992" s="43"/>
      <c r="AM992" s="43"/>
    </row>
    <row r="993" spans="1:39" ht="13.15">
      <c r="A993" s="41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W993" s="43"/>
      <c r="X993" s="43"/>
      <c r="Y993" s="43"/>
      <c r="AL993" s="43"/>
      <c r="AM993" s="43"/>
    </row>
    <row r="994" spans="1:39" ht="13.15">
      <c r="A994" s="41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W994" s="43"/>
      <c r="X994" s="43"/>
      <c r="Y994" s="43"/>
      <c r="AL994" s="43"/>
      <c r="AM994" s="43"/>
    </row>
    <row r="995" spans="1:39" ht="13.15">
      <c r="A995" s="41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W995" s="43"/>
      <c r="X995" s="43"/>
      <c r="Y995" s="43"/>
      <c r="AL995" s="43"/>
      <c r="AM995" s="43"/>
    </row>
    <row r="996" spans="1:39" ht="13.15">
      <c r="A996" s="41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W996" s="43"/>
      <c r="X996" s="43"/>
      <c r="Y996" s="43"/>
      <c r="AL996" s="43"/>
      <c r="AM996" s="43"/>
    </row>
    <row r="997" spans="1:39" ht="13.15">
      <c r="A997" s="41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W997" s="43"/>
      <c r="X997" s="43"/>
      <c r="Y997" s="43"/>
      <c r="AL997" s="43"/>
      <c r="AM997" s="43"/>
    </row>
    <row r="998" spans="1:39" ht="13.15">
      <c r="A998" s="41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W998" s="43"/>
      <c r="X998" s="43"/>
      <c r="Y998" s="43"/>
      <c r="AL998" s="43"/>
      <c r="AM998" s="43"/>
    </row>
    <row r="999" spans="1:39" ht="13.15">
      <c r="A999" s="41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W999" s="43"/>
      <c r="X999" s="43"/>
      <c r="Y999" s="43"/>
      <c r="AL999" s="43"/>
      <c r="AM999" s="43"/>
    </row>
    <row r="1000" spans="1:39" ht="13.15">
      <c r="A1000" s="41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W1000" s="43"/>
      <c r="X1000" s="43"/>
      <c r="Y1000" s="43"/>
      <c r="AL1000" s="43"/>
      <c r="AM1000" s="43"/>
    </row>
    <row r="1001" spans="1:39" ht="13.15">
      <c r="A1001" s="41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W1001" s="43"/>
      <c r="X1001" s="43"/>
      <c r="Y1001" s="43"/>
      <c r="AL1001" s="43"/>
      <c r="AM1001" s="43"/>
    </row>
    <row r="1002" spans="1:39" ht="13.15">
      <c r="A1002" s="41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W1002" s="43"/>
      <c r="X1002" s="43"/>
      <c r="Y1002" s="43"/>
      <c r="AL1002" s="43"/>
      <c r="AM1002" s="43"/>
    </row>
    <row r="1003" spans="1:39" ht="13.15">
      <c r="A1003" s="41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W1003" s="43"/>
      <c r="X1003" s="43"/>
      <c r="Y1003" s="43"/>
      <c r="AL1003" s="43"/>
      <c r="AM1003" s="43"/>
    </row>
    <row r="1004" spans="1:39" ht="13.15">
      <c r="A1004" s="41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W1004" s="43"/>
      <c r="X1004" s="43"/>
      <c r="Y1004" s="43"/>
      <c r="AL1004" s="43"/>
      <c r="AM1004" s="43"/>
    </row>
    <row r="1005" spans="1:39" ht="13.15">
      <c r="A1005" s="41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W1005" s="43"/>
      <c r="X1005" s="43"/>
      <c r="Y1005" s="43"/>
      <c r="AL1005" s="43"/>
      <c r="AM1005" s="43"/>
    </row>
    <row r="1006" spans="1:39" ht="13.15">
      <c r="A1006" s="41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W1006" s="43"/>
      <c r="X1006" s="43"/>
      <c r="Y1006" s="43"/>
      <c r="AL1006" s="43"/>
      <c r="AM1006" s="43"/>
    </row>
    <row r="1007" spans="1:39" ht="13.15">
      <c r="A1007" s="41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W1007" s="43"/>
      <c r="X1007" s="43"/>
      <c r="Y1007" s="43"/>
      <c r="AL1007" s="43"/>
      <c r="AM1007" s="43"/>
    </row>
    <row r="1008" spans="1:39" ht="13.15">
      <c r="A1008" s="41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W1008" s="43"/>
      <c r="X1008" s="43"/>
      <c r="Y1008" s="43"/>
      <c r="AL1008" s="43"/>
      <c r="AM1008" s="43"/>
    </row>
    <row r="1009" spans="1:39" ht="13.15">
      <c r="A1009" s="41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W1009" s="43"/>
      <c r="X1009" s="43"/>
      <c r="Y1009" s="43"/>
      <c r="AL1009" s="43"/>
      <c r="AM1009" s="43"/>
    </row>
    <row r="1010" spans="1:39" ht="13.15">
      <c r="A1010" s="41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W1010" s="43"/>
      <c r="X1010" s="43"/>
      <c r="Y1010" s="43"/>
      <c r="AL1010" s="43"/>
      <c r="AM1010" s="43"/>
    </row>
    <row r="1011" spans="1:39" ht="13.15">
      <c r="A1011" s="41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W1011" s="43"/>
      <c r="X1011" s="43"/>
      <c r="Y1011" s="43"/>
      <c r="AL1011" s="43"/>
      <c r="AM1011" s="43"/>
    </row>
    <row r="1012" spans="1:39" ht="13.15">
      <c r="A1012" s="41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W1012" s="43"/>
      <c r="X1012" s="43"/>
      <c r="Y1012" s="43"/>
      <c r="AL1012" s="43"/>
      <c r="AM1012" s="43"/>
    </row>
    <row r="1013" spans="1:39" ht="13.15">
      <c r="A1013" s="41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W1013" s="43"/>
      <c r="X1013" s="43"/>
      <c r="Y1013" s="43"/>
      <c r="AL1013" s="43"/>
      <c r="AM1013" s="43"/>
    </row>
    <row r="1014" spans="1:39" ht="13.15">
      <c r="A1014" s="41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W1014" s="43"/>
      <c r="X1014" s="43"/>
      <c r="Y1014" s="43"/>
      <c r="AL1014" s="43"/>
      <c r="AM1014" s="43"/>
    </row>
    <row r="1015" spans="1:39" ht="13.15">
      <c r="A1015" s="41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W1015" s="43"/>
      <c r="X1015" s="43"/>
      <c r="Y1015" s="43"/>
      <c r="AL1015" s="43"/>
      <c r="AM1015" s="43"/>
    </row>
    <row r="1016" spans="1:39" ht="13.15">
      <c r="A1016" s="41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W1016" s="43"/>
      <c r="X1016" s="43"/>
      <c r="Y1016" s="43"/>
      <c r="AL1016" s="43"/>
      <c r="AM1016" s="43"/>
    </row>
    <row r="1017" spans="1:39" ht="13.15">
      <c r="A1017" s="41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W1017" s="43"/>
      <c r="X1017" s="43"/>
      <c r="Y1017" s="43"/>
      <c r="AL1017" s="43"/>
      <c r="AM1017" s="43"/>
    </row>
    <row r="1018" spans="1:39" ht="13.15">
      <c r="A1018" s="41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W1018" s="43"/>
      <c r="X1018" s="43"/>
      <c r="Y1018" s="43"/>
      <c r="AL1018" s="43"/>
      <c r="AM1018" s="43"/>
    </row>
    <row r="1019" spans="1:39" ht="13.15">
      <c r="A1019" s="41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W1019" s="43"/>
      <c r="X1019" s="43"/>
      <c r="Y1019" s="43"/>
      <c r="AL1019" s="43"/>
      <c r="AM1019" s="43"/>
    </row>
    <row r="1020" spans="1:39" ht="13.15">
      <c r="A1020" s="41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W1020" s="43"/>
      <c r="X1020" s="43"/>
      <c r="Y1020" s="43"/>
      <c r="AL1020" s="43"/>
      <c r="AM1020" s="43"/>
    </row>
    <row r="1021" spans="1:39" ht="13.15">
      <c r="A1021" s="41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W1021" s="43"/>
      <c r="X1021" s="43"/>
      <c r="Y1021" s="43"/>
      <c r="AL1021" s="43"/>
      <c r="AM1021" s="43"/>
    </row>
    <row r="1022" spans="1:39" ht="13.15">
      <c r="A1022" s="41"/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W1022" s="43"/>
      <c r="X1022" s="43"/>
      <c r="Y1022" s="43"/>
      <c r="AL1022" s="43"/>
      <c r="AM1022" s="43"/>
    </row>
    <row r="1023" spans="1:39" ht="13.15">
      <c r="A1023" s="41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W1023" s="43"/>
      <c r="X1023" s="43"/>
      <c r="Y1023" s="43"/>
      <c r="AL1023" s="43"/>
      <c r="AM1023" s="43"/>
    </row>
    <row r="1024" spans="1:39" ht="13.15">
      <c r="A1024" s="41"/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W1024" s="43"/>
      <c r="X1024" s="43"/>
      <c r="Y1024" s="43"/>
      <c r="AL1024" s="43"/>
      <c r="AM1024" s="43"/>
    </row>
    <row r="1025" spans="1:39" ht="13.15">
      <c r="A1025" s="41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W1025" s="43"/>
      <c r="X1025" s="43"/>
      <c r="Y1025" s="43"/>
      <c r="AL1025" s="43"/>
      <c r="AM1025" s="43"/>
    </row>
    <row r="1026" spans="1:39" ht="13.15">
      <c r="A1026" s="41"/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W1026" s="43"/>
      <c r="X1026" s="43"/>
      <c r="Y1026" s="43"/>
      <c r="AL1026" s="43"/>
      <c r="AM1026" s="43"/>
    </row>
    <row r="1027" spans="1:39" ht="13.15">
      <c r="A1027" s="41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W1027" s="43"/>
      <c r="X1027" s="43"/>
      <c r="Y1027" s="43"/>
      <c r="AL1027" s="43"/>
      <c r="AM1027" s="43"/>
    </row>
    <row r="1028" spans="1:39" ht="13.15">
      <c r="A1028" s="41"/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W1028" s="43"/>
      <c r="X1028" s="43"/>
      <c r="Y1028" s="43"/>
      <c r="AL1028" s="43"/>
      <c r="AM1028" s="43"/>
    </row>
    <row r="1029" spans="1:39" ht="13.15">
      <c r="A1029" s="41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W1029" s="43"/>
      <c r="X1029" s="43"/>
      <c r="Y1029" s="43"/>
      <c r="AL1029" s="43"/>
      <c r="AM1029" s="43"/>
    </row>
    <row r="1030" spans="1:39" ht="13.15">
      <c r="A1030" s="41"/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W1030" s="43"/>
      <c r="X1030" s="43"/>
      <c r="Y1030" s="43"/>
      <c r="AL1030" s="43"/>
      <c r="AM1030" s="43"/>
    </row>
    <row r="1031" spans="1:39" ht="13.15">
      <c r="A1031" s="41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W1031" s="43"/>
      <c r="X1031" s="43"/>
      <c r="Y1031" s="43"/>
      <c r="AL1031" s="43"/>
      <c r="AM1031" s="43"/>
    </row>
    <row r="1032" spans="1:39" ht="13.15">
      <c r="A1032" s="41"/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W1032" s="43"/>
      <c r="X1032" s="43"/>
      <c r="Y1032" s="43"/>
      <c r="AL1032" s="43"/>
      <c r="AM1032" s="43"/>
    </row>
    <row r="1033" spans="1:39" ht="13.15">
      <c r="A1033" s="41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W1033" s="43"/>
      <c r="X1033" s="43"/>
      <c r="Y1033" s="43"/>
      <c r="AL1033" s="43"/>
      <c r="AM1033" s="4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W1113"/>
  <sheetViews>
    <sheetView workbookViewId="0">
      <pane ySplit="2" topLeftCell="A3" activePane="bottomLeft" state="frozen"/>
      <selection pane="bottomLeft" activeCell="H8" sqref="H8"/>
    </sheetView>
  </sheetViews>
  <sheetFormatPr defaultColWidth="12.59765625" defaultRowHeight="15.75" customHeight="1"/>
  <cols>
    <col min="2" max="2" width="32.73046875" customWidth="1"/>
    <col min="3" max="3" width="20.59765625" customWidth="1"/>
    <col min="4" max="4" width="17.1328125" customWidth="1"/>
    <col min="5" max="5" width="19.265625" customWidth="1"/>
    <col min="7" max="7" width="30.46484375" customWidth="1"/>
    <col min="8" max="8" width="22.59765625" customWidth="1"/>
    <col min="9" max="9" width="41.1328125" customWidth="1"/>
    <col min="11" max="11" width="12.1328125" customWidth="1"/>
    <col min="15" max="15" width="16.73046875" customWidth="1"/>
  </cols>
  <sheetData>
    <row r="1" spans="1:23" ht="15.75" customHeight="1">
      <c r="A1" s="41" t="s">
        <v>141</v>
      </c>
      <c r="B1" s="43" t="s">
        <v>247</v>
      </c>
      <c r="C1" s="44"/>
      <c r="E1" s="43"/>
      <c r="F1" s="44"/>
      <c r="G1" s="43"/>
      <c r="H1" s="59"/>
      <c r="I1" s="43"/>
      <c r="J1" s="44"/>
      <c r="K1" s="43"/>
      <c r="L1" s="44"/>
      <c r="M1" s="8"/>
      <c r="N1" s="8"/>
      <c r="O1" s="8"/>
      <c r="P1" s="8"/>
      <c r="Q1" s="74"/>
      <c r="R1" s="74"/>
      <c r="S1" s="125"/>
      <c r="T1" s="126"/>
      <c r="U1" s="8"/>
      <c r="V1" s="8"/>
      <c r="W1" s="8"/>
    </row>
    <row r="2" spans="1:23" ht="15.75" customHeight="1">
      <c r="A2" s="41"/>
      <c r="B2" s="41" t="s">
        <v>45</v>
      </c>
      <c r="C2" s="55" t="s">
        <v>0</v>
      </c>
      <c r="D2" s="42" t="s">
        <v>248</v>
      </c>
      <c r="E2" s="41" t="s">
        <v>47</v>
      </c>
      <c r="F2" s="41" t="s">
        <v>48</v>
      </c>
      <c r="G2" s="41" t="s">
        <v>49</v>
      </c>
      <c r="H2" s="60" t="s">
        <v>50</v>
      </c>
      <c r="I2" s="55" t="s">
        <v>51</v>
      </c>
      <c r="J2" s="41" t="s">
        <v>52</v>
      </c>
      <c r="K2" s="41" t="s">
        <v>53</v>
      </c>
      <c r="L2" s="55" t="s">
        <v>54</v>
      </c>
      <c r="M2" s="8"/>
      <c r="N2" s="8"/>
      <c r="O2" s="8"/>
      <c r="P2" s="8"/>
      <c r="Q2" s="74"/>
      <c r="R2" s="74"/>
      <c r="S2" s="74"/>
      <c r="T2" s="74"/>
      <c r="U2" s="8"/>
      <c r="V2" s="8"/>
      <c r="W2" s="8"/>
    </row>
    <row r="3" spans="1:23" ht="15.75" customHeight="1">
      <c r="A3" s="44"/>
      <c r="B3" s="43" t="s">
        <v>142</v>
      </c>
      <c r="C3" s="43" t="s">
        <v>144</v>
      </c>
      <c r="D3" s="43" t="s">
        <v>249</v>
      </c>
      <c r="E3" s="43"/>
      <c r="F3" s="43" t="s">
        <v>174</v>
      </c>
      <c r="G3" s="43" t="s">
        <v>175</v>
      </c>
      <c r="H3" s="59" t="s">
        <v>93</v>
      </c>
      <c r="I3" s="44"/>
      <c r="J3" s="43" t="s">
        <v>70</v>
      </c>
      <c r="K3" s="44">
        <v>10</v>
      </c>
      <c r="L3" s="44"/>
      <c r="M3" s="8"/>
      <c r="N3" s="8"/>
      <c r="O3" s="69"/>
      <c r="P3" s="69"/>
      <c r="U3" s="8"/>
      <c r="V3" s="8"/>
      <c r="W3" s="8"/>
    </row>
    <row r="4" spans="1:23" ht="15.75" customHeight="1">
      <c r="A4" s="44"/>
      <c r="B4" s="43" t="s">
        <v>142</v>
      </c>
      <c r="C4" s="44" t="s">
        <v>144</v>
      </c>
      <c r="D4" s="43" t="s">
        <v>249</v>
      </c>
      <c r="E4" s="43"/>
      <c r="F4" s="43" t="s">
        <v>178</v>
      </c>
      <c r="G4" s="43" t="s">
        <v>179</v>
      </c>
      <c r="H4" s="61" t="s">
        <v>114</v>
      </c>
      <c r="I4" s="43" t="s">
        <v>115</v>
      </c>
      <c r="J4" s="43" t="s">
        <v>72</v>
      </c>
      <c r="K4" s="44">
        <v>10</v>
      </c>
      <c r="L4" s="44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.75" customHeight="1">
      <c r="A5" s="44"/>
      <c r="B5" s="43"/>
      <c r="C5" s="44"/>
      <c r="D5" s="22"/>
      <c r="E5" s="43"/>
      <c r="F5" s="43"/>
      <c r="G5" s="43"/>
      <c r="H5" s="61" t="s">
        <v>120</v>
      </c>
      <c r="I5" s="43" t="s">
        <v>121</v>
      </c>
      <c r="J5" s="43" t="s">
        <v>72</v>
      </c>
      <c r="K5" s="51">
        <v>150</v>
      </c>
      <c r="L5" s="44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75" customHeight="1">
      <c r="A6" s="44"/>
      <c r="B6" s="43"/>
      <c r="C6" s="44"/>
      <c r="D6" s="22"/>
      <c r="E6" s="43"/>
      <c r="F6" s="44"/>
      <c r="G6" s="43"/>
      <c r="H6" s="61" t="s">
        <v>120</v>
      </c>
      <c r="I6" s="43" t="s">
        <v>124</v>
      </c>
      <c r="J6" s="43" t="s">
        <v>72</v>
      </c>
      <c r="K6" s="46" t="s">
        <v>125</v>
      </c>
      <c r="L6" s="44"/>
      <c r="M6" s="8"/>
      <c r="N6" s="8"/>
      <c r="O6" s="69"/>
      <c r="P6" s="69"/>
      <c r="U6" s="8"/>
      <c r="V6" s="8"/>
      <c r="W6" s="8"/>
    </row>
    <row r="7" spans="1:23" ht="15.75" customHeight="1">
      <c r="A7" s="44"/>
      <c r="B7" s="43" t="s">
        <v>142</v>
      </c>
      <c r="C7" s="43" t="s">
        <v>144</v>
      </c>
      <c r="D7" s="22" t="s">
        <v>249</v>
      </c>
      <c r="E7" s="44"/>
      <c r="F7" s="43" t="s">
        <v>145</v>
      </c>
      <c r="G7" s="43" t="s">
        <v>146</v>
      </c>
      <c r="H7" s="59" t="s">
        <v>250</v>
      </c>
      <c r="I7" s="44" t="s">
        <v>251</v>
      </c>
      <c r="J7" s="44" t="s">
        <v>252</v>
      </c>
      <c r="K7" s="46">
        <v>1100</v>
      </c>
      <c r="L7" s="44"/>
      <c r="M7" s="8"/>
      <c r="N7" s="8"/>
      <c r="O7" s="69"/>
      <c r="P7" s="69"/>
      <c r="U7" s="8"/>
      <c r="V7" s="8"/>
      <c r="W7" s="8"/>
    </row>
    <row r="8" spans="1:23" ht="15.75" customHeight="1">
      <c r="A8" s="44"/>
      <c r="B8" s="44"/>
      <c r="C8" s="44"/>
      <c r="D8" s="53"/>
      <c r="E8" s="44"/>
      <c r="F8" s="44"/>
      <c r="G8" s="44"/>
      <c r="H8" s="59" t="s">
        <v>250</v>
      </c>
      <c r="I8" s="44" t="s">
        <v>253</v>
      </c>
      <c r="J8" s="44" t="s">
        <v>252</v>
      </c>
      <c r="K8" s="46">
        <v>1200</v>
      </c>
      <c r="L8" s="44"/>
      <c r="M8" s="8"/>
      <c r="N8" s="8"/>
      <c r="O8" s="69"/>
      <c r="P8" s="69"/>
      <c r="U8" s="8"/>
      <c r="V8" s="8"/>
      <c r="W8" s="8"/>
    </row>
    <row r="9" spans="1:23" ht="15.75" customHeight="1">
      <c r="A9" s="44"/>
      <c r="B9" s="44"/>
      <c r="C9" s="44"/>
      <c r="D9" s="43"/>
      <c r="E9" s="44"/>
      <c r="F9" s="44"/>
      <c r="G9" s="44"/>
      <c r="H9" s="59" t="s">
        <v>250</v>
      </c>
      <c r="I9" s="44" t="s">
        <v>254</v>
      </c>
      <c r="J9" s="44" t="s">
        <v>252</v>
      </c>
      <c r="K9" s="46">
        <v>1300</v>
      </c>
      <c r="L9" s="44"/>
      <c r="M9" s="8"/>
      <c r="N9" s="8"/>
      <c r="O9" s="69"/>
      <c r="P9" s="69"/>
      <c r="U9" s="8"/>
      <c r="V9" s="8"/>
      <c r="W9" s="8"/>
    </row>
    <row r="10" spans="1:23" ht="15.75" customHeight="1">
      <c r="A10" s="55"/>
      <c r="B10" s="44"/>
      <c r="C10" s="44"/>
      <c r="D10" s="53"/>
      <c r="E10" s="44"/>
      <c r="F10" s="44"/>
      <c r="G10" s="44"/>
      <c r="H10" s="59" t="s">
        <v>250</v>
      </c>
      <c r="I10" s="44" t="s">
        <v>255</v>
      </c>
      <c r="J10" s="44" t="s">
        <v>252</v>
      </c>
      <c r="K10" s="46">
        <v>1500</v>
      </c>
      <c r="L10" s="55"/>
      <c r="M10" s="70"/>
      <c r="N10" s="70"/>
      <c r="O10" s="71"/>
      <c r="P10" s="71"/>
      <c r="Q10" s="55"/>
      <c r="R10" s="55"/>
      <c r="S10" s="55"/>
      <c r="T10" s="55"/>
      <c r="U10" s="70"/>
      <c r="V10" s="70"/>
      <c r="W10" s="70"/>
    </row>
    <row r="11" spans="1:23" ht="15.75" customHeight="1">
      <c r="A11" s="44"/>
      <c r="B11" s="43"/>
      <c r="C11" s="44"/>
      <c r="D11" s="43"/>
      <c r="E11" s="43"/>
      <c r="F11" s="43"/>
      <c r="G11" s="43"/>
      <c r="H11" s="59" t="s">
        <v>250</v>
      </c>
      <c r="I11" s="44" t="s">
        <v>256</v>
      </c>
      <c r="J11" s="44" t="s">
        <v>252</v>
      </c>
      <c r="K11" s="43">
        <v>2500</v>
      </c>
      <c r="L11" s="44"/>
      <c r="M11" s="8"/>
      <c r="N11" s="8"/>
      <c r="O11" s="72"/>
      <c r="P11" s="72"/>
      <c r="Q11" s="75"/>
      <c r="R11" s="75"/>
      <c r="S11" s="75"/>
      <c r="T11" s="75"/>
      <c r="U11" s="8"/>
      <c r="V11" s="8"/>
      <c r="W11" s="8"/>
    </row>
    <row r="12" spans="1:23" ht="15.75" customHeight="1">
      <c r="A12" s="44"/>
      <c r="B12" s="43"/>
      <c r="C12" s="44"/>
      <c r="D12" s="43"/>
      <c r="E12" s="43"/>
      <c r="F12" s="43"/>
      <c r="G12" s="43"/>
      <c r="H12" s="59" t="s">
        <v>257</v>
      </c>
      <c r="I12" s="44" t="s">
        <v>251</v>
      </c>
      <c r="J12" s="44" t="s">
        <v>252</v>
      </c>
      <c r="K12" s="46">
        <v>1100</v>
      </c>
      <c r="L12" s="44"/>
      <c r="M12" s="8"/>
      <c r="N12" s="8"/>
      <c r="O12" s="72"/>
      <c r="P12" s="72"/>
      <c r="Q12" s="75"/>
      <c r="R12" s="75"/>
      <c r="S12" s="75"/>
      <c r="T12" s="75"/>
      <c r="U12" s="8"/>
      <c r="V12" s="8"/>
      <c r="W12" s="8"/>
    </row>
    <row r="13" spans="1:23" ht="15.75" customHeight="1">
      <c r="A13" s="44"/>
      <c r="B13" s="43"/>
      <c r="C13" s="44"/>
      <c r="D13" s="43"/>
      <c r="E13" s="43"/>
      <c r="F13" s="43"/>
      <c r="G13" s="43"/>
      <c r="H13" s="59" t="s">
        <v>257</v>
      </c>
      <c r="I13" s="44" t="s">
        <v>253</v>
      </c>
      <c r="J13" s="44" t="s">
        <v>252</v>
      </c>
      <c r="K13" s="46">
        <v>1200</v>
      </c>
      <c r="L13" s="44"/>
      <c r="M13" s="8"/>
      <c r="N13" s="8"/>
      <c r="O13" s="72"/>
      <c r="P13" s="72"/>
      <c r="Q13" s="75"/>
      <c r="R13" s="75"/>
      <c r="S13" s="75"/>
      <c r="T13" s="75"/>
      <c r="U13" s="8"/>
      <c r="V13" s="8"/>
      <c r="W13" s="8"/>
    </row>
    <row r="14" spans="1:23" ht="15.75" customHeight="1">
      <c r="A14" s="44"/>
      <c r="B14" s="43"/>
      <c r="C14" s="44"/>
      <c r="D14" s="43"/>
      <c r="E14" s="43"/>
      <c r="F14" s="43"/>
      <c r="G14" s="43"/>
      <c r="H14" s="59" t="s">
        <v>257</v>
      </c>
      <c r="I14" s="44" t="s">
        <v>254</v>
      </c>
      <c r="J14" s="44" t="s">
        <v>252</v>
      </c>
      <c r="K14" s="46">
        <v>1300</v>
      </c>
      <c r="L14" s="44"/>
      <c r="M14" s="8"/>
      <c r="N14" s="8"/>
      <c r="O14" s="72"/>
      <c r="P14" s="72"/>
      <c r="Q14" s="75"/>
      <c r="R14" s="75"/>
      <c r="S14" s="75"/>
      <c r="T14" s="75"/>
      <c r="U14" s="8"/>
      <c r="V14" s="8"/>
      <c r="W14" s="8"/>
    </row>
    <row r="15" spans="1:23" ht="15.75" customHeight="1">
      <c r="A15" s="44"/>
      <c r="B15" s="43"/>
      <c r="C15" s="44"/>
      <c r="D15" s="43"/>
      <c r="E15" s="43"/>
      <c r="F15" s="43"/>
      <c r="G15" s="43"/>
      <c r="H15" s="59" t="s">
        <v>257</v>
      </c>
      <c r="I15" s="44" t="s">
        <v>255</v>
      </c>
      <c r="J15" s="44" t="s">
        <v>252</v>
      </c>
      <c r="K15" s="46">
        <v>1500</v>
      </c>
      <c r="L15" s="44"/>
      <c r="M15" s="8"/>
      <c r="N15" s="8"/>
      <c r="O15" s="72"/>
      <c r="P15" s="72"/>
      <c r="Q15" s="75"/>
      <c r="R15" s="75"/>
      <c r="S15" s="75"/>
      <c r="T15" s="75"/>
      <c r="U15" s="8"/>
      <c r="V15" s="8"/>
      <c r="W15" s="8"/>
    </row>
    <row r="16" spans="1:23" ht="15.75" customHeight="1">
      <c r="A16" s="44"/>
      <c r="B16" s="43"/>
      <c r="C16" s="44"/>
      <c r="D16" s="43"/>
      <c r="E16" s="43"/>
      <c r="F16" s="43"/>
      <c r="G16" s="43"/>
      <c r="H16" s="59" t="s">
        <v>257</v>
      </c>
      <c r="I16" s="44" t="s">
        <v>256</v>
      </c>
      <c r="J16" s="44" t="s">
        <v>252</v>
      </c>
      <c r="K16" s="43">
        <v>2500</v>
      </c>
      <c r="L16" s="44"/>
      <c r="M16" s="8"/>
      <c r="N16" s="8"/>
      <c r="O16" s="72"/>
      <c r="P16" s="72"/>
      <c r="Q16" s="75"/>
      <c r="R16" s="75"/>
      <c r="S16" s="75"/>
      <c r="T16" s="75"/>
      <c r="U16" s="8"/>
      <c r="V16" s="8"/>
      <c r="W16" s="8"/>
    </row>
    <row r="17" spans="1:23" ht="15.75" customHeight="1">
      <c r="A17" s="44"/>
      <c r="B17" s="43"/>
      <c r="C17" s="44"/>
      <c r="D17" s="43"/>
      <c r="E17" s="43"/>
      <c r="F17" s="43"/>
      <c r="G17" s="43"/>
      <c r="H17" s="61" t="s">
        <v>258</v>
      </c>
      <c r="I17" s="44" t="s">
        <v>251</v>
      </c>
      <c r="J17" s="44" t="s">
        <v>252</v>
      </c>
      <c r="K17" s="46">
        <v>1100</v>
      </c>
      <c r="L17" s="44"/>
      <c r="M17" s="8"/>
      <c r="N17" s="8"/>
      <c r="O17" s="72"/>
      <c r="P17" s="72"/>
      <c r="Q17" s="75"/>
      <c r="R17" s="75"/>
      <c r="S17" s="75"/>
      <c r="T17" s="75"/>
      <c r="U17" s="8"/>
      <c r="V17" s="8"/>
      <c r="W17" s="8"/>
    </row>
    <row r="18" spans="1:23" ht="15.75" customHeight="1">
      <c r="A18" s="44"/>
      <c r="B18" s="43"/>
      <c r="C18" s="44"/>
      <c r="D18" s="43"/>
      <c r="E18" s="43"/>
      <c r="F18" s="43"/>
      <c r="G18" s="43"/>
      <c r="H18" s="61" t="s">
        <v>258</v>
      </c>
      <c r="I18" s="44" t="s">
        <v>253</v>
      </c>
      <c r="J18" s="44" t="s">
        <v>252</v>
      </c>
      <c r="K18" s="46">
        <v>1200</v>
      </c>
      <c r="L18" s="44"/>
      <c r="M18" s="8"/>
      <c r="N18" s="8"/>
      <c r="O18" s="72"/>
      <c r="P18" s="72"/>
      <c r="Q18" s="75"/>
      <c r="R18" s="75"/>
      <c r="S18" s="75"/>
      <c r="T18" s="75"/>
      <c r="U18" s="8"/>
      <c r="V18" s="8"/>
      <c r="W18" s="8"/>
    </row>
    <row r="19" spans="1:23" ht="15.75" customHeight="1">
      <c r="A19" s="44"/>
      <c r="B19" s="43"/>
      <c r="C19" s="44"/>
      <c r="D19" s="43"/>
      <c r="E19" s="43"/>
      <c r="F19" s="43"/>
      <c r="G19" s="43"/>
      <c r="H19" s="61" t="s">
        <v>258</v>
      </c>
      <c r="I19" s="44" t="s">
        <v>254</v>
      </c>
      <c r="J19" s="44" t="s">
        <v>252</v>
      </c>
      <c r="K19" s="46">
        <v>1300</v>
      </c>
      <c r="L19" s="44"/>
      <c r="M19" s="8"/>
      <c r="N19" s="8"/>
      <c r="O19" s="72"/>
      <c r="P19" s="72"/>
      <c r="Q19" s="75"/>
      <c r="R19" s="75"/>
      <c r="S19" s="75"/>
      <c r="T19" s="75"/>
      <c r="U19" s="8"/>
      <c r="V19" s="8"/>
      <c r="W19" s="8"/>
    </row>
    <row r="20" spans="1:23" ht="15.75" customHeight="1">
      <c r="A20" s="44"/>
      <c r="B20" s="43"/>
      <c r="C20" s="44"/>
      <c r="D20" s="43"/>
      <c r="E20" s="43"/>
      <c r="F20" s="43"/>
      <c r="G20" s="43"/>
      <c r="H20" s="61" t="s">
        <v>258</v>
      </c>
      <c r="I20" s="44" t="s">
        <v>255</v>
      </c>
      <c r="J20" s="44" t="s">
        <v>252</v>
      </c>
      <c r="K20" s="46">
        <v>1700</v>
      </c>
      <c r="L20" s="44"/>
      <c r="M20" s="8"/>
      <c r="N20" s="8"/>
      <c r="O20" s="72"/>
      <c r="P20" s="72"/>
      <c r="Q20" s="75"/>
      <c r="R20" s="75"/>
      <c r="S20" s="75"/>
      <c r="T20" s="75"/>
      <c r="U20" s="8"/>
      <c r="V20" s="8"/>
      <c r="W20" s="8"/>
    </row>
    <row r="21" spans="1:23" ht="15.75" customHeight="1">
      <c r="A21" s="56"/>
      <c r="B21" s="57"/>
      <c r="C21" s="56"/>
      <c r="D21" s="43"/>
      <c r="E21" s="57"/>
      <c r="F21" s="57"/>
      <c r="G21" s="57"/>
      <c r="H21" s="61" t="s">
        <v>258</v>
      </c>
      <c r="I21" s="44" t="s">
        <v>256</v>
      </c>
      <c r="J21" s="44" t="s">
        <v>252</v>
      </c>
      <c r="K21" s="43">
        <v>2500</v>
      </c>
      <c r="L21" s="56"/>
      <c r="M21" s="73"/>
      <c r="N21" s="73"/>
      <c r="O21" s="72"/>
      <c r="P21" s="72"/>
      <c r="Q21" s="75"/>
      <c r="R21" s="75"/>
      <c r="S21" s="75"/>
      <c r="T21" s="75"/>
      <c r="U21" s="73"/>
      <c r="V21" s="73"/>
      <c r="W21" s="73"/>
    </row>
    <row r="22" spans="1:23" ht="15.75" customHeight="1">
      <c r="A22" s="44"/>
      <c r="B22" s="43" t="s">
        <v>142</v>
      </c>
      <c r="C22" s="43" t="s">
        <v>144</v>
      </c>
      <c r="D22" s="44" t="s">
        <v>249</v>
      </c>
      <c r="E22" s="43" t="s">
        <v>149</v>
      </c>
      <c r="F22" s="43" t="s">
        <v>150</v>
      </c>
      <c r="G22" s="44"/>
      <c r="H22" s="59" t="s">
        <v>250</v>
      </c>
      <c r="I22" s="44" t="s">
        <v>259</v>
      </c>
      <c r="J22" s="64" t="s">
        <v>260</v>
      </c>
      <c r="K22" s="46">
        <v>500</v>
      </c>
      <c r="L22" s="44" t="s">
        <v>261</v>
      </c>
      <c r="M22" s="8"/>
      <c r="N22" s="8"/>
      <c r="O22" s="72"/>
      <c r="P22" s="72"/>
      <c r="Q22" s="75"/>
      <c r="R22" s="75"/>
      <c r="S22" s="75"/>
      <c r="T22" s="75"/>
      <c r="U22" s="8"/>
      <c r="V22" s="8"/>
      <c r="W22" s="8"/>
    </row>
    <row r="23" spans="1:23" ht="15.75" customHeight="1">
      <c r="A23" s="44"/>
      <c r="B23" s="44"/>
      <c r="C23" s="44"/>
      <c r="D23" s="43"/>
      <c r="E23" s="44"/>
      <c r="F23" s="44"/>
      <c r="G23" s="44"/>
      <c r="H23" s="59" t="s">
        <v>250</v>
      </c>
      <c r="I23" s="44" t="s">
        <v>262</v>
      </c>
      <c r="J23" s="64" t="s">
        <v>260</v>
      </c>
      <c r="K23" s="46">
        <v>500</v>
      </c>
      <c r="L23" s="44" t="s">
        <v>263</v>
      </c>
      <c r="M23" s="8"/>
      <c r="N23" s="8"/>
      <c r="O23" s="72"/>
      <c r="P23" s="72"/>
      <c r="Q23" s="75"/>
      <c r="R23" s="75"/>
      <c r="S23" s="75"/>
      <c r="T23" s="75"/>
      <c r="U23" s="8"/>
      <c r="V23" s="8"/>
      <c r="W23" s="8"/>
    </row>
    <row r="24" spans="1:23" ht="15.75" customHeight="1">
      <c r="A24" s="44"/>
      <c r="B24" s="44"/>
      <c r="C24" s="44"/>
      <c r="D24" s="43"/>
      <c r="E24" s="44"/>
      <c r="F24" s="44"/>
      <c r="G24" s="44"/>
      <c r="H24" s="59" t="s">
        <v>250</v>
      </c>
      <c r="I24" s="44" t="s">
        <v>264</v>
      </c>
      <c r="J24" s="64" t="s">
        <v>260</v>
      </c>
      <c r="K24" s="46">
        <v>500</v>
      </c>
      <c r="L24" s="44"/>
      <c r="M24" s="8"/>
      <c r="N24" s="8"/>
      <c r="O24" s="72"/>
      <c r="P24" s="72"/>
      <c r="Q24" s="75"/>
      <c r="R24" s="75"/>
      <c r="S24" s="75"/>
      <c r="T24" s="75"/>
      <c r="U24" s="8"/>
      <c r="V24" s="8"/>
      <c r="W24" s="8"/>
    </row>
    <row r="25" spans="1:23" ht="15.75" customHeight="1">
      <c r="A25" s="44"/>
      <c r="B25" s="44"/>
      <c r="C25" s="44"/>
      <c r="D25" s="43"/>
      <c r="E25" s="44"/>
      <c r="F25" s="44"/>
      <c r="G25" s="44"/>
      <c r="H25" s="59" t="s">
        <v>250</v>
      </c>
      <c r="I25" s="44" t="s">
        <v>265</v>
      </c>
      <c r="J25" s="64" t="s">
        <v>260</v>
      </c>
      <c r="K25" s="46">
        <v>500</v>
      </c>
      <c r="L25" s="44"/>
      <c r="M25" s="8"/>
      <c r="N25" s="8"/>
      <c r="O25" s="72"/>
      <c r="P25" s="72"/>
      <c r="Q25" s="75"/>
      <c r="R25" s="75"/>
      <c r="S25" s="75"/>
      <c r="T25" s="75"/>
      <c r="U25" s="8"/>
      <c r="V25" s="8"/>
      <c r="W25" s="8"/>
    </row>
    <row r="26" spans="1:23" ht="15.75" customHeight="1">
      <c r="A26" s="44"/>
      <c r="B26" s="44"/>
      <c r="C26" s="44"/>
      <c r="E26" s="44"/>
      <c r="F26" s="44"/>
      <c r="G26" s="44"/>
      <c r="H26" s="59" t="s">
        <v>250</v>
      </c>
      <c r="I26" s="44" t="s">
        <v>266</v>
      </c>
      <c r="J26" s="64" t="s">
        <v>260</v>
      </c>
      <c r="K26" s="46">
        <v>600</v>
      </c>
      <c r="L26" s="44"/>
      <c r="M26" s="8"/>
      <c r="N26" s="8"/>
      <c r="O26" s="72"/>
      <c r="P26" s="72"/>
      <c r="Q26" s="75"/>
      <c r="R26" s="75"/>
      <c r="S26" s="75"/>
      <c r="T26" s="75"/>
      <c r="U26" s="8"/>
      <c r="V26" s="8"/>
      <c r="W26" s="8"/>
    </row>
    <row r="27" spans="1:23" ht="15.75" customHeight="1">
      <c r="A27" s="44"/>
      <c r="B27" s="44"/>
      <c r="C27" s="44"/>
      <c r="E27" s="44"/>
      <c r="F27" s="44"/>
      <c r="G27" s="44"/>
      <c r="H27" s="62" t="s">
        <v>250</v>
      </c>
      <c r="I27" s="65" t="s">
        <v>267</v>
      </c>
      <c r="J27" s="66" t="s">
        <v>260</v>
      </c>
      <c r="K27" s="67">
        <v>400</v>
      </c>
      <c r="L27" s="44"/>
      <c r="M27" s="8"/>
      <c r="N27" s="8"/>
      <c r="O27" s="72"/>
      <c r="P27" s="72"/>
      <c r="Q27" s="75"/>
      <c r="R27" s="75"/>
      <c r="S27" s="75"/>
      <c r="T27" s="75"/>
      <c r="U27" s="8"/>
      <c r="V27" s="8"/>
      <c r="W27" s="8"/>
    </row>
    <row r="28" spans="1:23" ht="15.75" customHeight="1">
      <c r="A28" s="44"/>
      <c r="B28" s="44"/>
      <c r="C28" s="44"/>
      <c r="E28" s="44"/>
      <c r="F28" s="44"/>
      <c r="G28" s="44"/>
      <c r="H28" s="62" t="s">
        <v>250</v>
      </c>
      <c r="I28" s="65" t="s">
        <v>268</v>
      </c>
      <c r="J28" s="66" t="s">
        <v>260</v>
      </c>
      <c r="K28" s="67">
        <v>400</v>
      </c>
      <c r="L28" s="44"/>
      <c r="M28" s="8"/>
      <c r="N28" s="8"/>
      <c r="O28" s="72"/>
      <c r="P28" s="72"/>
      <c r="Q28" s="75"/>
      <c r="R28" s="75"/>
      <c r="S28" s="75"/>
      <c r="T28" s="75"/>
      <c r="U28" s="8"/>
      <c r="V28" s="8"/>
      <c r="W28" s="8"/>
    </row>
    <row r="29" spans="1:23" ht="15.75" customHeight="1">
      <c r="A29" s="44"/>
      <c r="B29" s="44"/>
      <c r="C29" s="44"/>
      <c r="E29" s="44"/>
      <c r="F29" s="44"/>
      <c r="G29" s="44"/>
      <c r="H29" s="62" t="s">
        <v>250</v>
      </c>
      <c r="I29" s="65" t="s">
        <v>269</v>
      </c>
      <c r="J29" s="66" t="s">
        <v>260</v>
      </c>
      <c r="K29" s="67">
        <v>400</v>
      </c>
      <c r="L29" s="44"/>
      <c r="M29" s="8"/>
      <c r="N29" s="8"/>
      <c r="O29" s="72"/>
      <c r="P29" s="72"/>
      <c r="Q29" s="75"/>
      <c r="R29" s="75"/>
      <c r="S29" s="75"/>
      <c r="T29" s="75"/>
      <c r="U29" s="8"/>
      <c r="V29" s="8"/>
      <c r="W29" s="8"/>
    </row>
    <row r="30" spans="1:23" ht="15.75" customHeight="1">
      <c r="A30" s="44"/>
      <c r="B30" s="44"/>
      <c r="C30" s="44"/>
      <c r="E30" s="44"/>
      <c r="F30" s="44"/>
      <c r="G30" s="44"/>
      <c r="H30" s="62" t="s">
        <v>250</v>
      </c>
      <c r="I30" s="65" t="s">
        <v>270</v>
      </c>
      <c r="J30" s="66" t="s">
        <v>260</v>
      </c>
      <c r="K30" s="67">
        <v>400</v>
      </c>
      <c r="L30" s="44"/>
      <c r="M30" s="8"/>
      <c r="N30" s="8"/>
      <c r="O30" s="72"/>
      <c r="P30" s="72"/>
      <c r="Q30" s="75"/>
      <c r="R30" s="75"/>
      <c r="S30" s="75"/>
      <c r="T30" s="75"/>
      <c r="U30" s="8"/>
      <c r="V30" s="8"/>
      <c r="W30" s="8"/>
    </row>
    <row r="31" spans="1:23" ht="15.75" customHeight="1">
      <c r="A31" s="44"/>
      <c r="B31" s="44"/>
      <c r="C31" s="44"/>
      <c r="E31" s="44"/>
      <c r="F31" s="44"/>
      <c r="G31" s="44"/>
      <c r="H31" s="62" t="s">
        <v>250</v>
      </c>
      <c r="I31" s="65" t="s">
        <v>271</v>
      </c>
      <c r="J31" s="66" t="s">
        <v>260</v>
      </c>
      <c r="K31" s="67">
        <v>600</v>
      </c>
      <c r="L31" s="44"/>
      <c r="M31" s="8"/>
      <c r="N31" s="8"/>
      <c r="O31" s="72"/>
      <c r="P31" s="72"/>
      <c r="Q31" s="75"/>
      <c r="R31" s="75"/>
      <c r="S31" s="75"/>
      <c r="T31" s="75"/>
      <c r="U31" s="8"/>
      <c r="V31" s="8"/>
      <c r="W31" s="8"/>
    </row>
    <row r="32" spans="1:23" ht="15.75" customHeight="1">
      <c r="A32" s="44"/>
      <c r="B32" s="44"/>
      <c r="C32" s="44"/>
      <c r="D32" s="43"/>
      <c r="E32" s="44"/>
      <c r="F32" s="44"/>
      <c r="G32" s="44"/>
      <c r="H32" s="59" t="s">
        <v>257</v>
      </c>
      <c r="I32" s="44" t="s">
        <v>259</v>
      </c>
      <c r="J32" s="64" t="s">
        <v>260</v>
      </c>
      <c r="K32" s="46">
        <v>500</v>
      </c>
      <c r="L32" s="44"/>
      <c r="M32" s="8"/>
      <c r="N32" s="8"/>
      <c r="O32" s="72"/>
      <c r="P32" s="72"/>
      <c r="Q32" s="75"/>
      <c r="R32" s="75"/>
      <c r="S32" s="75"/>
      <c r="T32" s="75"/>
      <c r="U32" s="8"/>
      <c r="V32" s="8"/>
      <c r="W32" s="8"/>
    </row>
    <row r="33" spans="1:23" ht="15.75" customHeight="1">
      <c r="A33" s="44"/>
      <c r="B33" s="44"/>
      <c r="C33" s="44"/>
      <c r="D33" s="43"/>
      <c r="E33" s="44"/>
      <c r="F33" s="44"/>
      <c r="G33" s="44"/>
      <c r="H33" s="59" t="s">
        <v>257</v>
      </c>
      <c r="I33" s="44" t="s">
        <v>262</v>
      </c>
      <c r="J33" s="64" t="s">
        <v>260</v>
      </c>
      <c r="K33" s="46">
        <v>500</v>
      </c>
      <c r="L33" s="44"/>
      <c r="M33" s="8"/>
      <c r="N33" s="8"/>
      <c r="O33" s="72"/>
      <c r="P33" s="72"/>
      <c r="Q33" s="75"/>
      <c r="R33" s="75"/>
      <c r="S33" s="75"/>
      <c r="T33" s="75"/>
      <c r="U33" s="8"/>
      <c r="V33" s="8"/>
      <c r="W33" s="8"/>
    </row>
    <row r="34" spans="1:23" ht="15.75" customHeight="1">
      <c r="A34" s="44"/>
      <c r="B34" s="44"/>
      <c r="C34" s="44"/>
      <c r="D34" s="43"/>
      <c r="E34" s="44"/>
      <c r="F34" s="44"/>
      <c r="G34" s="44"/>
      <c r="H34" s="59" t="s">
        <v>257</v>
      </c>
      <c r="I34" s="44" t="s">
        <v>264</v>
      </c>
      <c r="J34" s="64" t="s">
        <v>260</v>
      </c>
      <c r="K34" s="46">
        <v>500</v>
      </c>
      <c r="L34" s="44"/>
      <c r="M34" s="8"/>
      <c r="N34" s="8"/>
      <c r="O34" s="72"/>
      <c r="P34" s="72"/>
      <c r="Q34" s="75"/>
      <c r="R34" s="75"/>
      <c r="S34" s="75"/>
      <c r="T34" s="75"/>
      <c r="U34" s="8"/>
      <c r="V34" s="8"/>
      <c r="W34" s="8"/>
    </row>
    <row r="35" spans="1:23" ht="15.75" customHeight="1">
      <c r="A35" s="44"/>
      <c r="B35" s="44"/>
      <c r="C35" s="44"/>
      <c r="D35" s="43"/>
      <c r="E35" s="44"/>
      <c r="F35" s="44"/>
      <c r="G35" s="44"/>
      <c r="H35" s="59" t="s">
        <v>257</v>
      </c>
      <c r="I35" s="44" t="s">
        <v>265</v>
      </c>
      <c r="J35" s="64" t="s">
        <v>260</v>
      </c>
      <c r="K35" s="46">
        <v>500</v>
      </c>
      <c r="L35" s="44"/>
      <c r="M35" s="8"/>
      <c r="N35" s="8"/>
      <c r="O35" s="72"/>
      <c r="P35" s="72"/>
      <c r="Q35" s="75"/>
      <c r="R35" s="75"/>
      <c r="S35" s="75"/>
      <c r="T35" s="75"/>
      <c r="U35" s="8"/>
      <c r="V35" s="8"/>
      <c r="W35" s="8"/>
    </row>
    <row r="36" spans="1:23" ht="15.75" customHeight="1">
      <c r="A36" s="44"/>
      <c r="B36" s="44"/>
      <c r="C36" s="44"/>
      <c r="D36" s="43"/>
      <c r="E36" s="44"/>
      <c r="F36" s="44"/>
      <c r="G36" s="44"/>
      <c r="H36" s="59" t="s">
        <v>257</v>
      </c>
      <c r="I36" s="44" t="s">
        <v>266</v>
      </c>
      <c r="J36" s="64" t="s">
        <v>260</v>
      </c>
      <c r="K36" s="46">
        <v>600</v>
      </c>
      <c r="L36" s="44"/>
      <c r="M36" s="8"/>
      <c r="N36" s="8"/>
      <c r="O36" s="72"/>
      <c r="P36" s="72"/>
      <c r="Q36" s="75"/>
      <c r="R36" s="75"/>
      <c r="S36" s="75"/>
      <c r="T36" s="75"/>
      <c r="U36" s="8"/>
      <c r="V36" s="8"/>
      <c r="W36" s="8"/>
    </row>
    <row r="37" spans="1:23" ht="15.75" customHeight="1">
      <c r="A37" s="44"/>
      <c r="B37" s="44"/>
      <c r="C37" s="44"/>
      <c r="D37" s="43"/>
      <c r="E37" s="44"/>
      <c r="F37" s="44"/>
      <c r="G37" s="44"/>
      <c r="H37" s="62" t="s">
        <v>257</v>
      </c>
      <c r="I37" s="65" t="s">
        <v>267</v>
      </c>
      <c r="J37" s="66" t="s">
        <v>260</v>
      </c>
      <c r="K37" s="67">
        <v>400</v>
      </c>
      <c r="L37" s="44"/>
      <c r="M37" s="8"/>
      <c r="N37" s="8"/>
      <c r="O37" s="72"/>
      <c r="P37" s="72"/>
      <c r="Q37" s="75"/>
      <c r="R37" s="75"/>
      <c r="S37" s="75"/>
      <c r="T37" s="75"/>
      <c r="U37" s="8"/>
      <c r="V37" s="8"/>
      <c r="W37" s="8"/>
    </row>
    <row r="38" spans="1:23" ht="15.75" customHeight="1">
      <c r="A38" s="44"/>
      <c r="B38" s="44"/>
      <c r="C38" s="44"/>
      <c r="D38" s="43"/>
      <c r="E38" s="44"/>
      <c r="F38" s="44"/>
      <c r="G38" s="44"/>
      <c r="H38" s="62" t="s">
        <v>257</v>
      </c>
      <c r="I38" s="65" t="s">
        <v>268</v>
      </c>
      <c r="J38" s="66" t="s">
        <v>260</v>
      </c>
      <c r="K38" s="67">
        <v>400</v>
      </c>
      <c r="L38" s="44"/>
      <c r="M38" s="8"/>
      <c r="N38" s="8"/>
      <c r="O38" s="72"/>
      <c r="P38" s="72"/>
      <c r="Q38" s="75"/>
      <c r="R38" s="75"/>
      <c r="S38" s="75"/>
      <c r="T38" s="75"/>
      <c r="U38" s="8"/>
      <c r="V38" s="8"/>
      <c r="W38" s="8"/>
    </row>
    <row r="39" spans="1:23" ht="15.75" customHeight="1">
      <c r="A39" s="44"/>
      <c r="B39" s="44"/>
      <c r="C39" s="44"/>
      <c r="D39" s="43"/>
      <c r="E39" s="44"/>
      <c r="F39" s="44"/>
      <c r="G39" s="44"/>
      <c r="H39" s="62" t="s">
        <v>257</v>
      </c>
      <c r="I39" s="65" t="s">
        <v>269</v>
      </c>
      <c r="J39" s="66" t="s">
        <v>260</v>
      </c>
      <c r="K39" s="67">
        <v>400</v>
      </c>
      <c r="L39" s="44"/>
      <c r="M39" s="8"/>
      <c r="N39" s="8"/>
      <c r="O39" s="72"/>
      <c r="P39" s="72"/>
      <c r="Q39" s="75"/>
      <c r="R39" s="75"/>
      <c r="S39" s="75"/>
      <c r="T39" s="75"/>
      <c r="U39" s="8"/>
      <c r="V39" s="8"/>
      <c r="W39" s="8"/>
    </row>
    <row r="40" spans="1:23" ht="15.75" customHeight="1">
      <c r="A40" s="44"/>
      <c r="B40" s="44"/>
      <c r="C40" s="44"/>
      <c r="D40" s="43"/>
      <c r="E40" s="44"/>
      <c r="F40" s="44"/>
      <c r="G40" s="44"/>
      <c r="H40" s="62" t="s">
        <v>257</v>
      </c>
      <c r="I40" s="65" t="s">
        <v>270</v>
      </c>
      <c r="J40" s="66" t="s">
        <v>260</v>
      </c>
      <c r="K40" s="67">
        <v>400</v>
      </c>
      <c r="L40" s="44"/>
      <c r="M40" s="8"/>
      <c r="N40" s="8"/>
      <c r="O40" s="72"/>
      <c r="P40" s="72"/>
      <c r="Q40" s="75"/>
      <c r="R40" s="75"/>
      <c r="S40" s="75"/>
      <c r="T40" s="75"/>
      <c r="U40" s="8"/>
      <c r="V40" s="8"/>
      <c r="W40" s="8"/>
    </row>
    <row r="41" spans="1:23" ht="15.75" customHeight="1">
      <c r="A41" s="44"/>
      <c r="B41" s="44"/>
      <c r="C41" s="44"/>
      <c r="D41" s="43"/>
      <c r="E41" s="44"/>
      <c r="F41" s="44"/>
      <c r="G41" s="44"/>
      <c r="H41" s="62" t="s">
        <v>257</v>
      </c>
      <c r="I41" s="65" t="s">
        <v>271</v>
      </c>
      <c r="J41" s="66" t="s">
        <v>260</v>
      </c>
      <c r="K41" s="67">
        <v>600</v>
      </c>
      <c r="L41" s="44"/>
      <c r="M41" s="8"/>
      <c r="N41" s="8"/>
      <c r="O41" s="72"/>
      <c r="P41" s="72"/>
      <c r="Q41" s="75"/>
      <c r="R41" s="75"/>
      <c r="S41" s="75"/>
      <c r="T41" s="75"/>
      <c r="U41" s="8"/>
      <c r="V41" s="8"/>
      <c r="W41" s="8"/>
    </row>
    <row r="42" spans="1:23" ht="15.75" customHeight="1">
      <c r="A42" s="44"/>
      <c r="B42" s="43"/>
      <c r="C42" s="44"/>
      <c r="D42" s="43"/>
      <c r="E42" s="43"/>
      <c r="F42" s="43"/>
      <c r="G42" s="43"/>
      <c r="H42" s="61" t="s">
        <v>258</v>
      </c>
      <c r="I42" s="44" t="s">
        <v>259</v>
      </c>
      <c r="J42" s="64" t="s">
        <v>260</v>
      </c>
      <c r="K42" s="46">
        <v>500</v>
      </c>
      <c r="L42" s="44"/>
      <c r="M42" s="8"/>
      <c r="N42" s="8"/>
      <c r="O42" s="72"/>
      <c r="P42" s="72"/>
      <c r="Q42" s="75"/>
      <c r="R42" s="75"/>
      <c r="S42" s="75"/>
      <c r="T42" s="75"/>
      <c r="U42" s="8"/>
      <c r="V42" s="8"/>
      <c r="W42" s="8"/>
    </row>
    <row r="43" spans="1:23" ht="15.75" customHeight="1">
      <c r="A43" s="44"/>
      <c r="B43" s="43"/>
      <c r="C43" s="44"/>
      <c r="D43" s="43"/>
      <c r="E43" s="43"/>
      <c r="F43" s="43"/>
      <c r="G43" s="43"/>
      <c r="H43" s="61" t="s">
        <v>258</v>
      </c>
      <c r="I43" s="44" t="s">
        <v>262</v>
      </c>
      <c r="J43" s="64" t="s">
        <v>260</v>
      </c>
      <c r="K43" s="46">
        <v>500</v>
      </c>
      <c r="L43" s="44"/>
      <c r="M43" s="8"/>
      <c r="N43" s="8"/>
      <c r="O43" s="72"/>
      <c r="P43" s="72"/>
      <c r="Q43" s="75"/>
      <c r="R43" s="75"/>
      <c r="S43" s="75"/>
      <c r="T43" s="75"/>
      <c r="U43" s="8"/>
      <c r="V43" s="8"/>
      <c r="W43" s="8"/>
    </row>
    <row r="44" spans="1:23" ht="15.75" customHeight="1">
      <c r="A44" s="44"/>
      <c r="B44" s="43"/>
      <c r="C44" s="44"/>
      <c r="D44" s="43"/>
      <c r="E44" s="43"/>
      <c r="F44" s="43"/>
      <c r="G44" s="43"/>
      <c r="H44" s="61" t="s">
        <v>258</v>
      </c>
      <c r="I44" s="44" t="s">
        <v>264</v>
      </c>
      <c r="J44" s="64" t="s">
        <v>260</v>
      </c>
      <c r="K44" s="46">
        <v>500</v>
      </c>
      <c r="L44" s="44"/>
      <c r="M44" s="8"/>
      <c r="N44" s="8"/>
      <c r="O44" s="72"/>
      <c r="P44" s="72"/>
      <c r="Q44" s="75"/>
      <c r="R44" s="75"/>
      <c r="S44" s="75"/>
      <c r="T44" s="75"/>
      <c r="U44" s="8"/>
      <c r="V44" s="8"/>
      <c r="W44" s="8"/>
    </row>
    <row r="45" spans="1:23" ht="15.75" customHeight="1">
      <c r="A45" s="44"/>
      <c r="B45" s="43"/>
      <c r="C45" s="44"/>
      <c r="D45" s="43"/>
      <c r="E45" s="43"/>
      <c r="F45" s="43"/>
      <c r="G45" s="43"/>
      <c r="H45" s="61" t="s">
        <v>258</v>
      </c>
      <c r="I45" s="44" t="s">
        <v>265</v>
      </c>
      <c r="J45" s="64" t="s">
        <v>260</v>
      </c>
      <c r="K45" s="46">
        <v>500</v>
      </c>
      <c r="L45" s="44"/>
      <c r="M45" s="8"/>
      <c r="N45" s="8"/>
      <c r="O45" s="72"/>
      <c r="P45" s="72"/>
      <c r="Q45" s="75"/>
      <c r="R45" s="75"/>
      <c r="S45" s="75"/>
      <c r="T45" s="75"/>
      <c r="U45" s="8"/>
      <c r="V45" s="8"/>
      <c r="W45" s="8"/>
    </row>
    <row r="46" spans="1:23" ht="15.75" customHeight="1">
      <c r="A46" s="44"/>
      <c r="B46" s="43"/>
      <c r="C46" s="44"/>
      <c r="D46" s="43"/>
      <c r="E46" s="43"/>
      <c r="F46" s="43"/>
      <c r="G46" s="43"/>
      <c r="H46" s="61" t="s">
        <v>258</v>
      </c>
      <c r="I46" s="44" t="s">
        <v>266</v>
      </c>
      <c r="J46" s="64" t="s">
        <v>260</v>
      </c>
      <c r="K46" s="46">
        <v>600</v>
      </c>
      <c r="L46" s="44"/>
      <c r="M46" s="8"/>
      <c r="N46" s="8"/>
      <c r="O46" s="72"/>
      <c r="P46" s="72"/>
      <c r="Q46" s="75"/>
      <c r="R46" s="75"/>
      <c r="S46" s="75"/>
      <c r="T46" s="75"/>
      <c r="U46" s="8"/>
      <c r="V46" s="8"/>
      <c r="W46" s="8"/>
    </row>
    <row r="47" spans="1:23" ht="15.75" customHeight="1">
      <c r="A47" s="44"/>
      <c r="B47" s="43"/>
      <c r="C47" s="44"/>
      <c r="D47" s="43"/>
      <c r="E47" s="43"/>
      <c r="F47" s="43"/>
      <c r="G47" s="43"/>
      <c r="H47" s="63" t="s">
        <v>258</v>
      </c>
      <c r="I47" s="65" t="s">
        <v>267</v>
      </c>
      <c r="J47" s="66" t="s">
        <v>260</v>
      </c>
      <c r="K47" s="67">
        <v>400</v>
      </c>
      <c r="L47" s="44"/>
      <c r="M47" s="8"/>
      <c r="N47" s="8"/>
      <c r="O47" s="72"/>
      <c r="P47" s="72"/>
      <c r="Q47" s="75"/>
      <c r="R47" s="75"/>
      <c r="S47" s="75"/>
      <c r="T47" s="75"/>
      <c r="U47" s="8"/>
      <c r="V47" s="8"/>
      <c r="W47" s="8"/>
    </row>
    <row r="48" spans="1:23" ht="15.75" customHeight="1">
      <c r="A48" s="44"/>
      <c r="B48" s="43"/>
      <c r="C48" s="44"/>
      <c r="D48" s="43"/>
      <c r="E48" s="43"/>
      <c r="F48" s="43"/>
      <c r="G48" s="43"/>
      <c r="H48" s="63" t="s">
        <v>258</v>
      </c>
      <c r="I48" s="65" t="s">
        <v>268</v>
      </c>
      <c r="J48" s="66" t="s">
        <v>260</v>
      </c>
      <c r="K48" s="67">
        <v>400</v>
      </c>
      <c r="L48" s="44"/>
      <c r="M48" s="8"/>
      <c r="N48" s="8"/>
      <c r="O48" s="72"/>
      <c r="P48" s="72"/>
      <c r="Q48" s="75"/>
      <c r="R48" s="75"/>
      <c r="S48" s="75"/>
      <c r="T48" s="75"/>
      <c r="U48" s="8"/>
      <c r="V48" s="8"/>
      <c r="W48" s="8"/>
    </row>
    <row r="49" spans="1:23" ht="15.75" customHeight="1">
      <c r="A49" s="44"/>
      <c r="B49" s="43"/>
      <c r="C49" s="44"/>
      <c r="D49" s="43"/>
      <c r="E49" s="43"/>
      <c r="F49" s="43"/>
      <c r="G49" s="43"/>
      <c r="H49" s="63" t="s">
        <v>258</v>
      </c>
      <c r="I49" s="65" t="s">
        <v>269</v>
      </c>
      <c r="J49" s="66" t="s">
        <v>260</v>
      </c>
      <c r="K49" s="67">
        <v>400</v>
      </c>
      <c r="L49" s="44"/>
      <c r="M49" s="8"/>
      <c r="N49" s="8"/>
      <c r="O49" s="72"/>
      <c r="P49" s="72"/>
      <c r="Q49" s="75"/>
      <c r="R49" s="75"/>
      <c r="S49" s="75"/>
      <c r="T49" s="75"/>
      <c r="U49" s="8"/>
      <c r="V49" s="8"/>
      <c r="W49" s="8"/>
    </row>
    <row r="50" spans="1:23" ht="15.75" customHeight="1">
      <c r="A50" s="44"/>
      <c r="B50" s="43"/>
      <c r="C50" s="44"/>
      <c r="D50" s="43"/>
      <c r="E50" s="43"/>
      <c r="F50" s="43"/>
      <c r="G50" s="43"/>
      <c r="H50" s="63" t="s">
        <v>258</v>
      </c>
      <c r="I50" s="65" t="s">
        <v>270</v>
      </c>
      <c r="J50" s="66" t="s">
        <v>260</v>
      </c>
      <c r="K50" s="67">
        <v>400</v>
      </c>
      <c r="L50" s="44"/>
      <c r="M50" s="8"/>
      <c r="N50" s="8"/>
      <c r="O50" s="72"/>
      <c r="P50" s="72"/>
      <c r="Q50" s="75"/>
      <c r="R50" s="75"/>
      <c r="S50" s="75"/>
      <c r="T50" s="75"/>
      <c r="U50" s="8"/>
      <c r="V50" s="8"/>
      <c r="W50" s="8"/>
    </row>
    <row r="51" spans="1:23" ht="15.75" customHeight="1">
      <c r="A51" s="44"/>
      <c r="B51" s="43"/>
      <c r="C51" s="44"/>
      <c r="D51" s="43"/>
      <c r="E51" s="43"/>
      <c r="F51" s="43"/>
      <c r="G51" s="43"/>
      <c r="H51" s="63" t="s">
        <v>258</v>
      </c>
      <c r="I51" s="65" t="s">
        <v>271</v>
      </c>
      <c r="J51" s="66" t="s">
        <v>260</v>
      </c>
      <c r="K51" s="67">
        <v>600</v>
      </c>
      <c r="L51" s="44"/>
      <c r="M51" s="8"/>
      <c r="N51" s="8"/>
      <c r="O51" s="72"/>
      <c r="P51" s="72"/>
      <c r="Q51" s="75"/>
      <c r="R51" s="75"/>
      <c r="S51" s="75"/>
      <c r="T51" s="75"/>
      <c r="U51" s="8"/>
      <c r="V51" s="8"/>
      <c r="W51" s="8"/>
    </row>
    <row r="52" spans="1:23" ht="15.75" customHeight="1">
      <c r="A52" s="44"/>
      <c r="B52" s="43"/>
      <c r="C52" s="44"/>
      <c r="D52" s="43"/>
      <c r="E52" s="43"/>
      <c r="F52" s="43"/>
      <c r="G52" s="43"/>
      <c r="H52" s="61" t="s">
        <v>272</v>
      </c>
      <c r="I52" s="44" t="s">
        <v>259</v>
      </c>
      <c r="J52" s="64" t="s">
        <v>260</v>
      </c>
      <c r="K52" s="43">
        <v>600</v>
      </c>
      <c r="L52" s="44"/>
      <c r="M52" s="8"/>
      <c r="N52" s="8"/>
      <c r="O52" s="72"/>
      <c r="P52" s="72"/>
      <c r="Q52" s="75"/>
      <c r="R52" s="75"/>
      <c r="S52" s="75"/>
      <c r="T52" s="75"/>
      <c r="U52" s="8"/>
      <c r="V52" s="8"/>
      <c r="W52" s="8"/>
    </row>
    <row r="53" spans="1:23" ht="15.75" customHeight="1">
      <c r="A53" s="44"/>
      <c r="B53" s="43"/>
      <c r="C53" s="44"/>
      <c r="D53" s="43"/>
      <c r="E53" s="43"/>
      <c r="F53" s="43"/>
      <c r="G53" s="43"/>
      <c r="H53" s="61" t="s">
        <v>272</v>
      </c>
      <c r="I53" s="44" t="s">
        <v>262</v>
      </c>
      <c r="J53" s="64" t="s">
        <v>260</v>
      </c>
      <c r="K53" s="43">
        <v>600</v>
      </c>
      <c r="L53" s="44"/>
      <c r="M53" s="8"/>
      <c r="N53" s="8"/>
      <c r="O53" s="72"/>
      <c r="P53" s="72"/>
      <c r="Q53" s="75"/>
      <c r="R53" s="75"/>
      <c r="S53" s="75"/>
      <c r="T53" s="75"/>
      <c r="U53" s="8"/>
      <c r="V53" s="8"/>
      <c r="W53" s="8"/>
    </row>
    <row r="54" spans="1:23" ht="15.75" customHeight="1">
      <c r="A54" s="44"/>
      <c r="B54" s="43"/>
      <c r="C54" s="44"/>
      <c r="D54" s="43"/>
      <c r="E54" s="43"/>
      <c r="F54" s="43"/>
      <c r="G54" s="43"/>
      <c r="H54" s="61" t="s">
        <v>272</v>
      </c>
      <c r="I54" s="44" t="s">
        <v>264</v>
      </c>
      <c r="J54" s="64" t="s">
        <v>260</v>
      </c>
      <c r="K54" s="43">
        <v>600</v>
      </c>
      <c r="L54" s="44"/>
      <c r="M54" s="8"/>
      <c r="N54" s="8"/>
      <c r="O54" s="72"/>
      <c r="P54" s="72"/>
      <c r="Q54" s="75"/>
      <c r="R54" s="75"/>
      <c r="S54" s="75"/>
      <c r="T54" s="75"/>
      <c r="U54" s="8"/>
      <c r="V54" s="8"/>
      <c r="W54" s="8"/>
    </row>
    <row r="55" spans="1:23" ht="15.75" customHeight="1">
      <c r="A55" s="44"/>
      <c r="B55" s="43"/>
      <c r="C55" s="44"/>
      <c r="D55" s="43"/>
      <c r="E55" s="43"/>
      <c r="F55" s="43"/>
      <c r="G55" s="43"/>
      <c r="H55" s="61" t="s">
        <v>272</v>
      </c>
      <c r="I55" s="44" t="s">
        <v>265</v>
      </c>
      <c r="J55" s="64" t="s">
        <v>260</v>
      </c>
      <c r="K55" s="43">
        <v>600</v>
      </c>
      <c r="L55" s="44"/>
      <c r="M55" s="8"/>
      <c r="N55" s="8"/>
      <c r="O55" s="72"/>
      <c r="P55" s="72"/>
      <c r="Q55" s="75"/>
      <c r="R55" s="75"/>
      <c r="S55" s="75"/>
      <c r="T55" s="75"/>
      <c r="U55" s="8"/>
      <c r="V55" s="8"/>
      <c r="W55" s="8"/>
    </row>
    <row r="56" spans="1:23" ht="15.75" customHeight="1">
      <c r="A56" s="44"/>
      <c r="B56" s="43"/>
      <c r="C56" s="44"/>
      <c r="D56" s="43"/>
      <c r="E56" s="43"/>
      <c r="F56" s="43"/>
      <c r="G56" s="43"/>
      <c r="H56" s="61" t="s">
        <v>272</v>
      </c>
      <c r="I56" s="44" t="s">
        <v>266</v>
      </c>
      <c r="J56" s="64" t="s">
        <v>260</v>
      </c>
      <c r="K56" s="43">
        <v>600</v>
      </c>
      <c r="L56" s="44"/>
      <c r="M56" s="8"/>
      <c r="N56" s="8"/>
      <c r="O56" s="72"/>
      <c r="P56" s="72"/>
      <c r="Q56" s="75"/>
      <c r="R56" s="75"/>
      <c r="S56" s="75"/>
      <c r="T56" s="75"/>
      <c r="U56" s="8"/>
      <c r="V56" s="8"/>
      <c r="W56" s="8"/>
    </row>
    <row r="57" spans="1:23" ht="15.75" customHeight="1">
      <c r="A57" s="44"/>
      <c r="B57" s="43" t="s">
        <v>142</v>
      </c>
      <c r="C57" s="43" t="s">
        <v>144</v>
      </c>
      <c r="D57" s="43"/>
      <c r="E57" s="44"/>
      <c r="F57" s="43" t="s">
        <v>152</v>
      </c>
      <c r="G57" s="43" t="s">
        <v>153</v>
      </c>
      <c r="H57" s="59"/>
      <c r="I57" s="43" t="s">
        <v>273</v>
      </c>
      <c r="J57" s="64" t="s">
        <v>274</v>
      </c>
      <c r="K57" s="43">
        <v>500</v>
      </c>
      <c r="L57" s="44" t="s">
        <v>275</v>
      </c>
      <c r="M57" s="8"/>
      <c r="N57" s="8"/>
      <c r="O57" s="72"/>
      <c r="P57" s="72"/>
      <c r="Q57" s="75"/>
      <c r="R57" s="75"/>
      <c r="S57" s="75"/>
      <c r="T57" s="75"/>
      <c r="U57" s="8"/>
      <c r="V57" s="8"/>
      <c r="W57" s="8"/>
    </row>
    <row r="58" spans="1:23" ht="15.75" customHeight="1">
      <c r="A58" s="44"/>
      <c r="B58" s="43"/>
      <c r="C58" s="44"/>
      <c r="D58" s="43"/>
      <c r="E58" s="43"/>
      <c r="F58" s="43"/>
      <c r="G58" s="43"/>
      <c r="H58" s="59"/>
      <c r="I58" s="43" t="s">
        <v>276</v>
      </c>
      <c r="J58" s="64" t="s">
        <v>260</v>
      </c>
      <c r="K58" s="43">
        <v>100</v>
      </c>
      <c r="L58" s="44"/>
      <c r="M58" s="8"/>
      <c r="N58" s="8"/>
      <c r="O58" s="72"/>
      <c r="P58" s="72"/>
      <c r="Q58" s="75"/>
      <c r="R58" s="75"/>
      <c r="S58" s="75"/>
      <c r="T58" s="75"/>
      <c r="U58" s="8"/>
      <c r="V58" s="8"/>
      <c r="W58" s="8"/>
    </row>
    <row r="59" spans="1:23" ht="15.75" customHeight="1">
      <c r="A59" s="44"/>
      <c r="B59" s="43" t="s">
        <v>142</v>
      </c>
      <c r="C59" s="43" t="s">
        <v>144</v>
      </c>
      <c r="D59" s="43"/>
      <c r="E59" s="44"/>
      <c r="F59" s="43" t="s">
        <v>154</v>
      </c>
      <c r="G59" s="43" t="s">
        <v>155</v>
      </c>
      <c r="H59" s="59" t="s">
        <v>250</v>
      </c>
      <c r="I59" s="44" t="s">
        <v>251</v>
      </c>
      <c r="J59" s="64" t="s">
        <v>277</v>
      </c>
      <c r="K59" s="43">
        <v>40</v>
      </c>
      <c r="L59" s="44"/>
      <c r="M59" s="8"/>
      <c r="N59" s="8"/>
      <c r="O59" s="72"/>
      <c r="P59" s="72"/>
      <c r="Q59" s="75"/>
      <c r="R59" s="75"/>
      <c r="S59" s="75"/>
      <c r="T59" s="75"/>
      <c r="U59" s="8"/>
      <c r="V59" s="8"/>
      <c r="W59" s="8"/>
    </row>
    <row r="60" spans="1:23" ht="15.75" customHeight="1">
      <c r="A60" s="44"/>
      <c r="B60" s="43"/>
      <c r="C60" s="44"/>
      <c r="D60" s="43"/>
      <c r="E60" s="43"/>
      <c r="F60" s="43"/>
      <c r="G60" s="43"/>
      <c r="H60" s="59" t="s">
        <v>250</v>
      </c>
      <c r="I60" s="44" t="s">
        <v>253</v>
      </c>
      <c r="J60" s="64" t="s">
        <v>277</v>
      </c>
      <c r="K60" s="43">
        <v>50</v>
      </c>
      <c r="L60" s="44"/>
      <c r="M60" s="8"/>
      <c r="N60" s="8"/>
      <c r="U60" s="8"/>
      <c r="V60" s="8"/>
      <c r="W60" s="8"/>
    </row>
    <row r="61" spans="1:23" ht="15.75" customHeight="1">
      <c r="A61" s="44"/>
      <c r="B61" s="44"/>
      <c r="C61" s="58"/>
      <c r="D61" s="43"/>
      <c r="E61" s="58"/>
      <c r="F61" s="58"/>
      <c r="G61" s="58"/>
      <c r="H61" s="59" t="s">
        <v>250</v>
      </c>
      <c r="I61" s="44" t="s">
        <v>254</v>
      </c>
      <c r="J61" s="64" t="s">
        <v>277</v>
      </c>
      <c r="K61" s="43">
        <v>50</v>
      </c>
      <c r="L61" s="58"/>
      <c r="M61" s="8"/>
      <c r="N61" s="8"/>
      <c r="U61" s="8"/>
      <c r="V61" s="8"/>
      <c r="W61" s="8"/>
    </row>
    <row r="62" spans="1:23" ht="15.75" customHeight="1">
      <c r="A62" s="44"/>
      <c r="B62" s="44"/>
      <c r="C62" s="58"/>
      <c r="D62" s="43"/>
      <c r="E62" s="58"/>
      <c r="F62" s="58"/>
      <c r="G62" s="58"/>
      <c r="H62" s="59" t="s">
        <v>250</v>
      </c>
      <c r="I62" s="44" t="s">
        <v>255</v>
      </c>
      <c r="J62" s="64" t="s">
        <v>277</v>
      </c>
      <c r="K62" s="43">
        <v>50</v>
      </c>
      <c r="L62" s="58"/>
      <c r="M62" s="8"/>
      <c r="N62" s="8"/>
      <c r="U62" s="8"/>
      <c r="V62" s="8"/>
      <c r="W62" s="8"/>
    </row>
    <row r="63" spans="1:23" ht="15.75" customHeight="1">
      <c r="A63" s="44"/>
      <c r="B63" s="44"/>
      <c r="C63" s="58"/>
      <c r="D63" s="43"/>
      <c r="E63" s="58"/>
      <c r="F63" s="127"/>
      <c r="G63" s="126"/>
      <c r="H63" s="59" t="s">
        <v>250</v>
      </c>
      <c r="I63" s="44" t="s">
        <v>256</v>
      </c>
      <c r="J63" s="64" t="s">
        <v>277</v>
      </c>
      <c r="K63" s="43">
        <v>50</v>
      </c>
      <c r="L63" s="56"/>
      <c r="M63" s="8"/>
      <c r="N63" s="8"/>
      <c r="U63" s="8"/>
      <c r="V63" s="8"/>
      <c r="W63" s="8"/>
    </row>
    <row r="64" spans="1:23" ht="15.75" customHeight="1">
      <c r="A64" s="44"/>
      <c r="B64" s="44" t="s">
        <v>142</v>
      </c>
      <c r="C64" s="43" t="s">
        <v>144</v>
      </c>
      <c r="D64" s="43"/>
      <c r="E64" s="44"/>
      <c r="F64" s="43" t="s">
        <v>187</v>
      </c>
      <c r="G64" s="43" t="s">
        <v>188</v>
      </c>
      <c r="H64" s="59" t="s">
        <v>250</v>
      </c>
      <c r="I64" s="44" t="s">
        <v>278</v>
      </c>
      <c r="J64" s="68" t="s">
        <v>252</v>
      </c>
      <c r="K64" s="43">
        <v>56</v>
      </c>
      <c r="L64" s="44" t="s">
        <v>279</v>
      </c>
      <c r="M64" s="8"/>
      <c r="N64" s="8"/>
      <c r="U64" s="8"/>
      <c r="V64" s="8"/>
      <c r="W64" s="8"/>
    </row>
    <row r="65" spans="1:23" ht="15.75" customHeight="1">
      <c r="A65" s="44"/>
      <c r="B65" s="44"/>
      <c r="C65" s="76"/>
      <c r="D65" s="43"/>
      <c r="E65" s="64"/>
      <c r="F65" s="81"/>
      <c r="G65" s="81"/>
      <c r="H65" s="59" t="s">
        <v>250</v>
      </c>
      <c r="I65" s="44" t="s">
        <v>280</v>
      </c>
      <c r="J65" s="43" t="s">
        <v>252</v>
      </c>
      <c r="K65" s="43">
        <v>30</v>
      </c>
      <c r="L65" s="44"/>
      <c r="M65" s="8"/>
      <c r="N65" s="8"/>
      <c r="U65" s="8"/>
      <c r="V65" s="8"/>
      <c r="W65" s="8"/>
    </row>
    <row r="66" spans="1:23" ht="15.75" customHeight="1">
      <c r="A66" s="44"/>
      <c r="B66" s="44" t="s">
        <v>142</v>
      </c>
      <c r="C66" s="43" t="s">
        <v>144</v>
      </c>
      <c r="D66" s="43"/>
      <c r="E66" s="44"/>
      <c r="F66" s="43" t="s">
        <v>163</v>
      </c>
      <c r="G66" s="43" t="s">
        <v>164</v>
      </c>
      <c r="H66" s="59" t="s">
        <v>250</v>
      </c>
      <c r="I66" s="44" t="s">
        <v>251</v>
      </c>
      <c r="J66" s="43" t="s">
        <v>252</v>
      </c>
      <c r="K66" s="43">
        <v>30</v>
      </c>
      <c r="L66" s="44"/>
      <c r="M66" s="8"/>
      <c r="N66" s="8"/>
      <c r="U66" s="8"/>
      <c r="V66" s="8"/>
      <c r="W66" s="8"/>
    </row>
    <row r="67" spans="1:23" ht="15.75" customHeight="1">
      <c r="A67" s="44"/>
      <c r="B67" s="44"/>
      <c r="C67" s="76"/>
      <c r="D67" s="43"/>
      <c r="E67" s="64"/>
      <c r="F67" s="81"/>
      <c r="G67" s="81"/>
      <c r="H67" s="59" t="s">
        <v>250</v>
      </c>
      <c r="I67" s="44" t="s">
        <v>253</v>
      </c>
      <c r="J67" s="43" t="s">
        <v>252</v>
      </c>
      <c r="K67" s="43">
        <v>30</v>
      </c>
      <c r="L67" s="44"/>
      <c r="M67" s="8"/>
      <c r="N67" s="8"/>
      <c r="U67" s="8"/>
      <c r="V67" s="8"/>
      <c r="W67" s="8"/>
    </row>
    <row r="68" spans="1:23" ht="15.75" customHeight="1">
      <c r="A68" s="44"/>
      <c r="B68" s="44"/>
      <c r="C68" s="76"/>
      <c r="D68" s="43"/>
      <c r="E68" s="64"/>
      <c r="F68" s="81"/>
      <c r="G68" s="81"/>
      <c r="H68" s="59" t="s">
        <v>250</v>
      </c>
      <c r="I68" s="44" t="s">
        <v>254</v>
      </c>
      <c r="J68" s="43" t="s">
        <v>252</v>
      </c>
      <c r="K68" s="43">
        <v>30</v>
      </c>
      <c r="L68" s="44"/>
      <c r="M68" s="8"/>
      <c r="N68" s="8"/>
      <c r="O68" s="79"/>
      <c r="P68" s="86"/>
      <c r="Q68" s="50"/>
      <c r="R68" s="50"/>
      <c r="S68" s="50"/>
      <c r="T68" s="50"/>
      <c r="U68" s="8"/>
      <c r="V68" s="8"/>
      <c r="W68" s="8"/>
    </row>
    <row r="69" spans="1:23" ht="15.75" customHeight="1">
      <c r="A69" s="44"/>
      <c r="B69" s="44"/>
      <c r="C69" s="76"/>
      <c r="D69" s="43"/>
      <c r="E69" s="64"/>
      <c r="F69" s="81"/>
      <c r="G69" s="81"/>
      <c r="H69" s="59" t="s">
        <v>250</v>
      </c>
      <c r="I69" s="44" t="s">
        <v>255</v>
      </c>
      <c r="J69" s="43" t="s">
        <v>252</v>
      </c>
      <c r="K69" s="43">
        <v>30</v>
      </c>
      <c r="L69" s="81"/>
      <c r="M69" s="8"/>
      <c r="N69" s="8"/>
      <c r="O69" s="79"/>
      <c r="P69" s="86"/>
      <c r="Q69" s="50"/>
      <c r="R69" s="50"/>
      <c r="S69" s="50"/>
      <c r="T69" s="50"/>
      <c r="U69" s="8"/>
      <c r="V69" s="8"/>
      <c r="W69" s="8"/>
    </row>
    <row r="70" spans="1:23" ht="15.75" customHeight="1">
      <c r="A70" s="44"/>
      <c r="B70" s="44"/>
      <c r="C70" s="76"/>
      <c r="D70" s="43"/>
      <c r="E70" s="64"/>
      <c r="F70" s="81"/>
      <c r="G70" s="81"/>
      <c r="H70" s="59" t="s">
        <v>250</v>
      </c>
      <c r="I70" s="44" t="s">
        <v>256</v>
      </c>
      <c r="J70" s="43" t="s">
        <v>252</v>
      </c>
      <c r="K70" s="43">
        <v>30</v>
      </c>
      <c r="L70" s="44"/>
      <c r="M70" s="8"/>
      <c r="N70" s="8"/>
      <c r="O70" s="79"/>
      <c r="P70" s="86"/>
      <c r="Q70" s="50"/>
      <c r="R70" s="50"/>
      <c r="S70" s="50"/>
      <c r="T70" s="50"/>
      <c r="U70" s="8"/>
      <c r="V70" s="8"/>
      <c r="W70" s="8"/>
    </row>
    <row r="71" spans="1:23" ht="15.75" customHeight="1">
      <c r="A71" s="8"/>
      <c r="B71" s="22" t="s">
        <v>142</v>
      </c>
      <c r="C71" s="43" t="s">
        <v>144</v>
      </c>
      <c r="D71" s="43"/>
      <c r="F71" s="22" t="s">
        <v>281</v>
      </c>
      <c r="G71" s="22" t="s">
        <v>160</v>
      </c>
      <c r="H71" s="59" t="s">
        <v>250</v>
      </c>
      <c r="I71" s="44" t="s">
        <v>251</v>
      </c>
      <c r="J71" s="43" t="s">
        <v>252</v>
      </c>
      <c r="K71" s="92">
        <v>500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5.75" customHeight="1">
      <c r="A72" s="8"/>
      <c r="B72" s="8"/>
      <c r="C72" s="72"/>
      <c r="D72" s="43"/>
      <c r="E72" s="72"/>
      <c r="F72" s="75"/>
      <c r="G72" s="82"/>
      <c r="H72" s="59" t="s">
        <v>250</v>
      </c>
      <c r="I72" s="44" t="s">
        <v>253</v>
      </c>
      <c r="J72" s="43" t="s">
        <v>252</v>
      </c>
      <c r="K72" s="92">
        <v>500</v>
      </c>
      <c r="L72" s="8"/>
      <c r="M72" s="8"/>
      <c r="N72" s="8"/>
      <c r="U72" s="8"/>
      <c r="V72" s="8"/>
      <c r="W72" s="8"/>
    </row>
    <row r="73" spans="1:23" ht="15.75" customHeight="1">
      <c r="A73" s="8"/>
      <c r="B73" s="22"/>
      <c r="C73" s="69"/>
      <c r="D73" s="43"/>
      <c r="E73" s="77"/>
      <c r="F73" s="77"/>
      <c r="G73" s="77"/>
      <c r="H73" s="59" t="s">
        <v>250</v>
      </c>
      <c r="I73" s="44" t="s">
        <v>254</v>
      </c>
      <c r="J73" s="43" t="s">
        <v>252</v>
      </c>
      <c r="K73" s="92">
        <v>500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5.75" customHeight="1">
      <c r="A74" s="8"/>
      <c r="B74" s="22"/>
      <c r="C74" s="69"/>
      <c r="D74" s="43"/>
      <c r="E74" s="83"/>
      <c r="F74" s="69"/>
      <c r="G74" s="83"/>
      <c r="H74" s="59" t="s">
        <v>250</v>
      </c>
      <c r="I74" s="44" t="s">
        <v>255</v>
      </c>
      <c r="J74" s="43" t="s">
        <v>252</v>
      </c>
      <c r="K74" s="92">
        <v>500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5.75" customHeight="1">
      <c r="A75" s="8"/>
      <c r="B75" s="22"/>
      <c r="C75" s="77"/>
      <c r="D75" s="43"/>
      <c r="E75" s="53"/>
      <c r="F75" s="77"/>
      <c r="G75" s="78"/>
      <c r="H75" s="59" t="s">
        <v>250</v>
      </c>
      <c r="I75" s="44" t="s">
        <v>256</v>
      </c>
      <c r="J75" s="43" t="s">
        <v>252</v>
      </c>
      <c r="K75" s="92">
        <v>500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5.75" customHeight="1">
      <c r="A76" s="8"/>
      <c r="B76" s="22"/>
      <c r="C76" s="77"/>
      <c r="D76" s="43"/>
      <c r="E76" s="53"/>
      <c r="F76" s="77"/>
      <c r="G76" s="79"/>
      <c r="H76" s="84" t="s">
        <v>282</v>
      </c>
      <c r="I76" s="44" t="s">
        <v>251</v>
      </c>
      <c r="J76" s="43" t="s">
        <v>252</v>
      </c>
      <c r="K76" s="93">
        <v>600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5.75" customHeight="1">
      <c r="A77" s="8"/>
      <c r="B77" s="22"/>
      <c r="C77" s="77"/>
      <c r="D77" s="43"/>
      <c r="E77" s="53"/>
      <c r="F77" s="77"/>
      <c r="G77" s="79"/>
      <c r="H77" s="84" t="s">
        <v>282</v>
      </c>
      <c r="I77" s="44" t="s">
        <v>253</v>
      </c>
      <c r="J77" s="43" t="s">
        <v>252</v>
      </c>
      <c r="K77" s="93">
        <v>600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5.75" customHeight="1">
      <c r="A78" s="8"/>
      <c r="B78" s="22"/>
      <c r="C78" s="77"/>
      <c r="D78" s="43"/>
      <c r="E78" s="53"/>
      <c r="F78" s="77"/>
      <c r="G78" s="79"/>
      <c r="H78" s="84" t="s">
        <v>282</v>
      </c>
      <c r="I78" s="44" t="s">
        <v>254</v>
      </c>
      <c r="J78" s="43" t="s">
        <v>252</v>
      </c>
      <c r="K78" s="93">
        <v>600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5.75" customHeight="1">
      <c r="A79" s="8"/>
      <c r="B79" s="22"/>
      <c r="C79" s="77"/>
      <c r="D79" s="43"/>
      <c r="E79" s="53"/>
      <c r="F79" s="77"/>
      <c r="G79" s="79"/>
      <c r="H79" s="84" t="s">
        <v>282</v>
      </c>
      <c r="I79" s="44" t="s">
        <v>255</v>
      </c>
      <c r="J79" s="43" t="s">
        <v>252</v>
      </c>
      <c r="K79" s="93">
        <v>600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5.75" customHeight="1">
      <c r="A80" s="8"/>
      <c r="B80" s="22"/>
      <c r="C80" s="77"/>
      <c r="D80" s="43"/>
      <c r="E80" s="53"/>
      <c r="F80" s="77"/>
      <c r="G80" s="79"/>
      <c r="H80" s="84" t="s">
        <v>282</v>
      </c>
      <c r="I80" s="44" t="s">
        <v>256</v>
      </c>
      <c r="J80" s="43" t="s">
        <v>252</v>
      </c>
      <c r="K80" s="93">
        <v>600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5.75" customHeight="1">
      <c r="A81" s="8"/>
      <c r="B81" s="22" t="s">
        <v>142</v>
      </c>
      <c r="C81" s="22" t="s">
        <v>144</v>
      </c>
      <c r="D81" s="43"/>
      <c r="F81" s="22" t="s">
        <v>161</v>
      </c>
      <c r="G81" s="22" t="s">
        <v>162</v>
      </c>
      <c r="H81" s="59" t="s">
        <v>250</v>
      </c>
      <c r="I81" s="44" t="s">
        <v>251</v>
      </c>
      <c r="J81" s="43" t="s">
        <v>252</v>
      </c>
      <c r="K81" s="22">
        <v>300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5.75" customHeight="1">
      <c r="A82" s="8"/>
      <c r="B82" s="22"/>
      <c r="C82" s="78"/>
      <c r="D82" s="43"/>
      <c r="E82" s="78"/>
      <c r="F82" s="22"/>
      <c r="G82" s="78"/>
      <c r="H82" s="59" t="s">
        <v>250</v>
      </c>
      <c r="I82" s="44" t="s">
        <v>253</v>
      </c>
      <c r="J82" s="43" t="s">
        <v>252</v>
      </c>
      <c r="K82" s="22">
        <v>300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5.75" customHeight="1">
      <c r="A83" s="8"/>
      <c r="B83" s="22"/>
      <c r="C83" s="79"/>
      <c r="D83" s="43"/>
      <c r="E83" s="85"/>
      <c r="F83" s="22"/>
      <c r="G83" s="86"/>
      <c r="H83" s="59" t="s">
        <v>250</v>
      </c>
      <c r="I83" s="44" t="s">
        <v>254</v>
      </c>
      <c r="J83" s="43" t="s">
        <v>252</v>
      </c>
      <c r="K83" s="22">
        <v>300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5.75" customHeight="1">
      <c r="A84" s="8"/>
      <c r="B84" s="22"/>
      <c r="C84" s="79"/>
      <c r="D84" s="43"/>
      <c r="E84" s="85"/>
      <c r="F84" s="22"/>
      <c r="G84" s="86"/>
      <c r="H84" s="59" t="s">
        <v>250</v>
      </c>
      <c r="I84" s="44" t="s">
        <v>255</v>
      </c>
      <c r="J84" s="43" t="s">
        <v>252</v>
      </c>
      <c r="K84" s="22">
        <v>300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5.75" customHeight="1">
      <c r="A85" s="8"/>
      <c r="B85" s="22"/>
      <c r="C85" s="79"/>
      <c r="D85" s="43"/>
      <c r="E85" s="85"/>
      <c r="F85" s="22"/>
      <c r="G85" s="86"/>
      <c r="H85" s="59" t="s">
        <v>250</v>
      </c>
      <c r="I85" s="44" t="s">
        <v>256</v>
      </c>
      <c r="J85" s="43" t="s">
        <v>252</v>
      </c>
      <c r="K85" s="22">
        <v>300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5.75" customHeight="1">
      <c r="A86" s="8"/>
      <c r="B86" s="22"/>
      <c r="C86" s="79"/>
      <c r="D86" s="43"/>
      <c r="E86" s="85"/>
      <c r="F86" s="22"/>
      <c r="G86" s="86"/>
      <c r="H86" s="84" t="s">
        <v>282</v>
      </c>
      <c r="I86" s="44" t="s">
        <v>251</v>
      </c>
      <c r="J86" s="43" t="s">
        <v>252</v>
      </c>
      <c r="K86" s="8">
        <v>500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5.75" customHeight="1">
      <c r="A87" s="8"/>
      <c r="B87" s="22"/>
      <c r="C87" s="79"/>
      <c r="D87" s="43"/>
      <c r="E87" s="85"/>
      <c r="F87" s="22"/>
      <c r="G87" s="86"/>
      <c r="H87" s="84" t="s">
        <v>282</v>
      </c>
      <c r="I87" s="44" t="s">
        <v>253</v>
      </c>
      <c r="J87" s="43" t="s">
        <v>252</v>
      </c>
      <c r="K87" s="8">
        <v>500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5.75" customHeight="1">
      <c r="A88" s="8"/>
      <c r="B88" s="22"/>
      <c r="C88" s="8"/>
      <c r="D88" s="43"/>
      <c r="E88" s="22"/>
      <c r="F88" s="22"/>
      <c r="G88" s="22"/>
      <c r="H88" s="84" t="s">
        <v>282</v>
      </c>
      <c r="I88" s="44" t="s">
        <v>254</v>
      </c>
      <c r="J88" s="43" t="s">
        <v>252</v>
      </c>
      <c r="K88" s="8">
        <v>500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5.75" customHeight="1">
      <c r="A89" s="8"/>
      <c r="B89" s="22"/>
      <c r="C89" s="8"/>
      <c r="D89" s="43"/>
      <c r="H89" s="84" t="s">
        <v>282</v>
      </c>
      <c r="I89" s="44" t="s">
        <v>255</v>
      </c>
      <c r="J89" s="43" t="s">
        <v>252</v>
      </c>
      <c r="K89" s="8">
        <v>500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5.75" customHeight="1">
      <c r="A90" s="8"/>
      <c r="B90" s="8"/>
      <c r="C90" s="72"/>
      <c r="E90" s="43"/>
      <c r="F90" s="87"/>
      <c r="G90" s="8"/>
      <c r="H90" s="84" t="s">
        <v>282</v>
      </c>
      <c r="I90" s="44" t="s">
        <v>256</v>
      </c>
      <c r="J90" s="43" t="s">
        <v>252</v>
      </c>
      <c r="K90" s="8">
        <v>500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5.75" customHeight="1">
      <c r="A91" s="8"/>
      <c r="B91" s="22" t="s">
        <v>142</v>
      </c>
      <c r="C91" s="22" t="s">
        <v>158</v>
      </c>
      <c r="F91" s="22" t="s">
        <v>165</v>
      </c>
      <c r="G91" s="22" t="s">
        <v>166</v>
      </c>
      <c r="H91" s="59" t="s">
        <v>250</v>
      </c>
      <c r="I91" s="22"/>
      <c r="J91" s="8" t="s">
        <v>283</v>
      </c>
      <c r="K91" s="22">
        <v>50</v>
      </c>
      <c r="L91" s="8"/>
      <c r="M91" s="8"/>
      <c r="N91" s="8"/>
      <c r="O91" s="8"/>
      <c r="P91" s="8"/>
      <c r="Q91" s="8"/>
      <c r="R91" s="75"/>
      <c r="S91" s="75"/>
      <c r="T91" s="75"/>
      <c r="U91" s="8"/>
      <c r="V91" s="8"/>
      <c r="W91" s="8"/>
    </row>
    <row r="92" spans="1:23" ht="15.75" customHeight="1">
      <c r="A92" s="8"/>
      <c r="B92" s="22"/>
      <c r="C92" s="49"/>
      <c r="E92" s="43"/>
      <c r="F92" s="88"/>
      <c r="G92" s="22"/>
      <c r="H92" s="84" t="s">
        <v>282</v>
      </c>
      <c r="I92" s="22"/>
      <c r="J92" s="8" t="s">
        <v>283</v>
      </c>
      <c r="K92" s="22">
        <v>50</v>
      </c>
      <c r="L92" s="8"/>
      <c r="M92" s="8"/>
      <c r="N92" s="8"/>
      <c r="O92" s="8"/>
      <c r="P92" s="8"/>
      <c r="Q92" s="8"/>
      <c r="R92" s="75"/>
      <c r="S92" s="75"/>
      <c r="T92" s="75"/>
      <c r="U92" s="8"/>
      <c r="V92" s="8"/>
      <c r="W92" s="8"/>
    </row>
    <row r="93" spans="1:23" ht="15.75" customHeight="1">
      <c r="A93" s="8"/>
      <c r="B93" s="22" t="s">
        <v>142</v>
      </c>
      <c r="C93" s="22" t="s">
        <v>158</v>
      </c>
      <c r="E93" s="44" t="s">
        <v>158</v>
      </c>
      <c r="F93" s="22" t="s">
        <v>284</v>
      </c>
      <c r="G93" s="22"/>
      <c r="H93" s="59" t="s">
        <v>250</v>
      </c>
      <c r="I93" s="22"/>
      <c r="J93" s="8" t="s">
        <v>283</v>
      </c>
      <c r="K93" s="22">
        <v>600</v>
      </c>
      <c r="L93" s="8"/>
      <c r="M93" s="8"/>
      <c r="N93" s="8"/>
      <c r="O93" s="8"/>
      <c r="P93" s="8"/>
      <c r="Q93" s="8"/>
      <c r="R93" s="75"/>
      <c r="S93" s="75"/>
      <c r="T93" s="75"/>
      <c r="U93" s="8"/>
      <c r="V93" s="8"/>
      <c r="W93" s="8"/>
    </row>
    <row r="94" spans="1:23" ht="15.75" customHeight="1">
      <c r="A94" s="8"/>
      <c r="B94" s="22"/>
      <c r="C94" s="49"/>
      <c r="E94" s="43"/>
      <c r="F94" s="88"/>
      <c r="G94" s="22"/>
      <c r="H94" s="84" t="s">
        <v>282</v>
      </c>
      <c r="I94" s="22"/>
      <c r="J94" s="8" t="s">
        <v>283</v>
      </c>
      <c r="K94" s="22">
        <v>600</v>
      </c>
      <c r="L94" s="8" t="s">
        <v>285</v>
      </c>
      <c r="M94" s="8"/>
      <c r="N94" s="8"/>
      <c r="O94" s="8"/>
      <c r="P94" s="8"/>
      <c r="Q94" s="8"/>
      <c r="R94" s="75"/>
      <c r="S94" s="75"/>
      <c r="T94" s="75"/>
      <c r="U94" s="8"/>
      <c r="V94" s="8"/>
      <c r="W94" s="8"/>
    </row>
    <row r="95" spans="1:23" ht="15.75" customHeight="1">
      <c r="A95" s="8"/>
      <c r="B95" s="22" t="s">
        <v>142</v>
      </c>
      <c r="C95" s="22" t="s">
        <v>158</v>
      </c>
      <c r="E95" s="44" t="s">
        <v>158</v>
      </c>
      <c r="F95" s="22" t="s">
        <v>185</v>
      </c>
      <c r="G95" s="87" t="s">
        <v>186</v>
      </c>
      <c r="H95" s="59" t="s">
        <v>250</v>
      </c>
      <c r="I95" s="44" t="s">
        <v>286</v>
      </c>
      <c r="J95" s="22" t="s">
        <v>283</v>
      </c>
      <c r="K95" s="8">
        <v>50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5.75" customHeight="1">
      <c r="A96" s="8"/>
      <c r="B96" s="8"/>
      <c r="C96" s="49"/>
      <c r="D96" s="43"/>
      <c r="E96" s="43"/>
      <c r="F96" s="89"/>
      <c r="H96" s="59" t="s">
        <v>250</v>
      </c>
      <c r="I96" s="44" t="s">
        <v>2</v>
      </c>
      <c r="J96" s="22" t="s">
        <v>283</v>
      </c>
      <c r="K96" s="8">
        <v>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5.75" customHeight="1">
      <c r="A97" s="8"/>
      <c r="B97" s="8"/>
      <c r="C97" s="49"/>
      <c r="D97" s="43"/>
      <c r="E97" s="43"/>
      <c r="F97" s="89"/>
      <c r="H97" s="90" t="s">
        <v>282</v>
      </c>
      <c r="I97" s="44" t="s">
        <v>286</v>
      </c>
      <c r="J97" s="22" t="s">
        <v>283</v>
      </c>
      <c r="K97" s="69">
        <v>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5.75" customHeight="1">
      <c r="A98" s="8"/>
      <c r="B98" s="8"/>
      <c r="C98" s="8"/>
      <c r="D98" s="43"/>
      <c r="E98" s="22"/>
      <c r="F98" s="8"/>
      <c r="G98" s="69"/>
      <c r="H98" s="90" t="s">
        <v>282</v>
      </c>
      <c r="I98" s="44" t="s">
        <v>2</v>
      </c>
      <c r="J98" s="22" t="s">
        <v>283</v>
      </c>
      <c r="K98" s="69">
        <v>100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5.75" customHeight="1">
      <c r="A99" s="8"/>
      <c r="B99" s="22" t="s">
        <v>142</v>
      </c>
      <c r="C99" s="22" t="s">
        <v>167</v>
      </c>
      <c r="D99" s="43"/>
      <c r="E99" s="44" t="s">
        <v>287</v>
      </c>
      <c r="F99" s="22" t="s">
        <v>168</v>
      </c>
      <c r="G99" s="22"/>
      <c r="H99" s="87" t="s">
        <v>250</v>
      </c>
      <c r="I99" s="22"/>
      <c r="J99" s="22" t="s">
        <v>288</v>
      </c>
      <c r="K99" s="22">
        <v>100</v>
      </c>
      <c r="L99" s="8"/>
      <c r="M99" s="8"/>
      <c r="N99" s="8"/>
      <c r="O99" s="8"/>
      <c r="P99" s="8"/>
      <c r="Q99" s="8"/>
      <c r="R99" s="75"/>
      <c r="S99" s="75"/>
      <c r="T99" s="75"/>
      <c r="U99" s="8"/>
      <c r="V99" s="8"/>
      <c r="W99" s="8"/>
    </row>
    <row r="100" spans="1:23" ht="15.75" customHeight="1">
      <c r="A100" s="8"/>
      <c r="B100" s="22" t="s">
        <v>142</v>
      </c>
      <c r="C100" s="22" t="s">
        <v>144</v>
      </c>
      <c r="D100" s="43"/>
      <c r="E100" s="8"/>
      <c r="F100" s="22" t="s">
        <v>171</v>
      </c>
      <c r="G100" s="91" t="s">
        <v>172</v>
      </c>
      <c r="H100" s="59" t="s">
        <v>250</v>
      </c>
      <c r="I100" s="22"/>
      <c r="J100" s="8" t="s">
        <v>289</v>
      </c>
      <c r="K100" s="22">
        <v>30</v>
      </c>
      <c r="L100" s="8"/>
      <c r="M100" s="8"/>
      <c r="N100" s="8"/>
      <c r="O100" s="8"/>
      <c r="P100" s="8"/>
      <c r="Q100" s="8"/>
      <c r="R100" s="75"/>
      <c r="S100" s="75"/>
      <c r="T100" s="75"/>
      <c r="U100" s="8"/>
      <c r="V100" s="8"/>
      <c r="W100" s="8"/>
    </row>
    <row r="101" spans="1:23" ht="15.75" customHeight="1">
      <c r="A101" s="8"/>
      <c r="B101" s="22"/>
      <c r="C101" s="8"/>
      <c r="D101" s="43"/>
      <c r="E101" s="22"/>
      <c r="H101" s="84" t="s">
        <v>282</v>
      </c>
      <c r="I101" s="22"/>
      <c r="J101" s="8" t="s">
        <v>289</v>
      </c>
      <c r="K101" s="22">
        <v>30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5.75" customHeight="1">
      <c r="A102" s="8"/>
      <c r="B102" s="22" t="s">
        <v>142</v>
      </c>
      <c r="C102" s="8" t="s">
        <v>65</v>
      </c>
      <c r="D102" s="43"/>
      <c r="E102" s="43" t="s">
        <v>290</v>
      </c>
      <c r="F102" s="8" t="s">
        <v>291</v>
      </c>
      <c r="G102" s="91" t="s">
        <v>292</v>
      </c>
      <c r="H102" s="84" t="s">
        <v>282</v>
      </c>
      <c r="I102" s="8" t="s">
        <v>293</v>
      </c>
      <c r="J102" s="8" t="s">
        <v>294</v>
      </c>
      <c r="K102" s="8">
        <v>3100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5.75" customHeight="1">
      <c r="A103" s="8"/>
      <c r="B103" s="8"/>
      <c r="C103" s="78"/>
      <c r="D103" s="43"/>
      <c r="E103" s="43"/>
      <c r="F103" s="82"/>
      <c r="G103" s="8"/>
      <c r="H103" s="84" t="s">
        <v>282</v>
      </c>
      <c r="I103" s="8" t="s">
        <v>295</v>
      </c>
      <c r="J103" s="8" t="s">
        <v>294</v>
      </c>
      <c r="K103" s="83" t="s">
        <v>296</v>
      </c>
      <c r="L103" s="22" t="s">
        <v>297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5.75" customHeight="1">
      <c r="A104" s="8"/>
      <c r="B104" s="22" t="s">
        <v>142</v>
      </c>
      <c r="C104" s="22" t="s">
        <v>144</v>
      </c>
      <c r="D104" s="43"/>
      <c r="E104" s="8" t="s">
        <v>298</v>
      </c>
      <c r="F104" s="22" t="s">
        <v>183</v>
      </c>
      <c r="G104" s="87" t="s">
        <v>184</v>
      </c>
      <c r="H104" s="90"/>
      <c r="I104" s="8" t="s">
        <v>299</v>
      </c>
      <c r="J104" s="22" t="s">
        <v>252</v>
      </c>
      <c r="K104" s="8">
        <v>2050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5.75" customHeight="1">
      <c r="A105" s="8"/>
      <c r="B105" s="8"/>
      <c r="C105" s="49"/>
      <c r="D105" s="43"/>
      <c r="E105" s="43"/>
      <c r="F105" s="89"/>
      <c r="H105" s="90"/>
      <c r="I105" s="8" t="s">
        <v>300</v>
      </c>
      <c r="J105" s="22" t="s">
        <v>252</v>
      </c>
      <c r="K105" s="8">
        <v>100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5.75" customHeight="1">
      <c r="A106" s="8"/>
      <c r="B106" s="22" t="s">
        <v>142</v>
      </c>
      <c r="C106" s="8" t="s">
        <v>301</v>
      </c>
      <c r="D106" s="43"/>
      <c r="E106" s="22"/>
      <c r="F106" s="44" t="s">
        <v>220</v>
      </c>
      <c r="G106" s="43" t="s">
        <v>302</v>
      </c>
      <c r="H106" s="61"/>
      <c r="I106" s="22"/>
      <c r="J106" s="22" t="s">
        <v>303</v>
      </c>
      <c r="K106" s="22" t="s">
        <v>304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5.75" customHeight="1">
      <c r="A107" s="8"/>
      <c r="B107" s="8"/>
      <c r="C107" s="8"/>
      <c r="D107" s="43"/>
      <c r="E107" s="22"/>
      <c r="F107" s="8"/>
      <c r="G107" s="8"/>
      <c r="H107" s="9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5.75" customHeight="1">
      <c r="A108" s="8"/>
      <c r="B108" s="8"/>
      <c r="C108" s="8"/>
      <c r="D108" s="43"/>
      <c r="E108" s="22"/>
      <c r="F108" s="8"/>
      <c r="G108" s="8"/>
      <c r="H108" s="9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5.75" customHeight="1">
      <c r="A109" s="8"/>
      <c r="B109" s="8"/>
      <c r="C109" s="80"/>
      <c r="D109" s="43"/>
      <c r="G109" s="8"/>
      <c r="H109" s="9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5.75" customHeight="1">
      <c r="A110" s="8"/>
      <c r="B110" s="8"/>
      <c r="C110" s="8"/>
      <c r="D110" s="43"/>
      <c r="G110" s="8"/>
      <c r="H110" s="90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5.75" customHeight="1">
      <c r="A111" s="8"/>
      <c r="B111" s="8"/>
      <c r="C111" s="80"/>
      <c r="D111" s="43"/>
      <c r="G111" s="8"/>
      <c r="H111" s="90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5.75" customHeight="1">
      <c r="A112" s="8"/>
      <c r="B112" s="8"/>
      <c r="C112" s="8"/>
      <c r="D112" s="43"/>
      <c r="G112" s="8"/>
      <c r="H112" s="90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5.75" customHeight="1">
      <c r="A113" s="8"/>
      <c r="B113" s="8"/>
      <c r="C113" s="8"/>
      <c r="D113" s="43"/>
      <c r="G113" s="8"/>
      <c r="H113" s="90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5.75" customHeight="1">
      <c r="A114" s="8"/>
      <c r="B114" s="22"/>
      <c r="C114" s="22"/>
      <c r="D114" s="43"/>
      <c r="E114" s="22"/>
      <c r="H114" s="61"/>
      <c r="I114" s="22"/>
      <c r="J114" s="8"/>
      <c r="K114" s="22"/>
      <c r="L114" s="8"/>
      <c r="M114" s="8"/>
      <c r="N114" s="8"/>
      <c r="O114" s="94"/>
      <c r="P114" s="95"/>
      <c r="Q114" s="96"/>
      <c r="R114" s="8"/>
      <c r="S114" s="8"/>
      <c r="T114" s="8"/>
      <c r="U114" s="8"/>
      <c r="V114" s="8"/>
      <c r="W114" s="8"/>
    </row>
    <row r="115" spans="1:23" ht="15.75" customHeight="1">
      <c r="A115" s="8"/>
      <c r="B115" s="8"/>
      <c r="C115" s="8"/>
      <c r="D115" s="43"/>
      <c r="E115" s="22"/>
      <c r="F115" s="8"/>
      <c r="G115" s="8"/>
      <c r="H115" s="90"/>
      <c r="I115" s="8"/>
      <c r="J115" s="8"/>
      <c r="K115" s="8"/>
      <c r="L115" s="8"/>
      <c r="M115" s="8"/>
      <c r="N115" s="8"/>
      <c r="O115" s="94"/>
      <c r="P115" s="95"/>
      <c r="Q115" s="97"/>
      <c r="R115" s="8"/>
      <c r="S115" s="8"/>
      <c r="T115" s="8"/>
      <c r="U115" s="8"/>
      <c r="V115" s="8"/>
      <c r="W115" s="8"/>
    </row>
    <row r="116" spans="1:23" ht="15.75" customHeight="1">
      <c r="A116" s="8"/>
      <c r="B116" s="8"/>
      <c r="C116" s="8"/>
      <c r="D116" s="43"/>
      <c r="E116" s="22"/>
      <c r="F116" s="69"/>
      <c r="G116" s="8"/>
      <c r="H116" s="90"/>
      <c r="I116" s="8"/>
      <c r="J116" s="8"/>
      <c r="K116" s="8"/>
      <c r="L116" s="8"/>
      <c r="M116" s="8"/>
      <c r="N116" s="8"/>
      <c r="O116" s="94"/>
      <c r="P116" s="95"/>
      <c r="Q116" s="97"/>
      <c r="R116" s="8"/>
      <c r="S116" s="8"/>
      <c r="T116" s="8"/>
      <c r="U116" s="8"/>
      <c r="V116" s="8"/>
      <c r="W116" s="8"/>
    </row>
    <row r="117" spans="1:23" ht="15.75" customHeight="1">
      <c r="A117" s="8"/>
      <c r="B117" s="22"/>
      <c r="C117" s="22"/>
      <c r="D117" s="43"/>
      <c r="E117" s="22"/>
      <c r="F117" s="22"/>
      <c r="G117" s="22"/>
      <c r="H117" s="87"/>
      <c r="I117" s="22"/>
      <c r="J117" s="8"/>
      <c r="K117" s="8"/>
      <c r="L117" s="8"/>
      <c r="M117" s="8"/>
      <c r="N117" s="8"/>
      <c r="O117" s="94"/>
      <c r="P117" s="95"/>
      <c r="Q117" s="97"/>
      <c r="R117" s="8"/>
      <c r="S117" s="8"/>
      <c r="T117" s="8"/>
      <c r="U117" s="8"/>
      <c r="V117" s="8"/>
      <c r="W117" s="8"/>
    </row>
    <row r="118" spans="1:23" ht="15.75" customHeight="1">
      <c r="A118" s="8"/>
      <c r="B118" s="8"/>
      <c r="C118" s="8"/>
      <c r="D118" s="43"/>
      <c r="E118" s="22"/>
      <c r="F118" s="8"/>
      <c r="G118" s="8"/>
      <c r="H118" s="90"/>
      <c r="I118" s="8"/>
      <c r="J118" s="8"/>
      <c r="K118" s="8"/>
      <c r="L118" s="8"/>
      <c r="M118" s="8"/>
      <c r="N118" s="8"/>
      <c r="O118" s="94"/>
      <c r="P118" s="95"/>
      <c r="Q118" s="97"/>
      <c r="R118" s="8"/>
      <c r="S118" s="8"/>
      <c r="T118" s="8"/>
      <c r="U118" s="8"/>
      <c r="V118" s="8"/>
      <c r="W118" s="8"/>
    </row>
    <row r="119" spans="1:23" ht="15.75" customHeight="1">
      <c r="A119" s="8"/>
      <c r="B119" s="8"/>
      <c r="C119" s="8"/>
      <c r="D119" s="43"/>
      <c r="E119" s="22"/>
      <c r="F119" s="69"/>
      <c r="G119" s="8"/>
      <c r="H119" s="90"/>
      <c r="I119" s="8"/>
      <c r="J119" s="8"/>
      <c r="K119" s="8"/>
      <c r="L119" s="8"/>
      <c r="M119" s="8"/>
      <c r="N119" s="8"/>
      <c r="O119" s="94"/>
      <c r="P119" s="95"/>
      <c r="Q119" s="97"/>
      <c r="R119" s="8"/>
      <c r="S119" s="8"/>
      <c r="T119" s="8"/>
      <c r="U119" s="8"/>
      <c r="V119" s="8"/>
      <c r="W119" s="8"/>
    </row>
    <row r="120" spans="1:23" ht="15.75" customHeight="1">
      <c r="A120" s="8"/>
      <c r="B120" s="8"/>
      <c r="C120" s="8"/>
      <c r="D120" s="43"/>
      <c r="E120" s="22"/>
      <c r="F120" s="8"/>
      <c r="G120" s="8"/>
      <c r="H120" s="90"/>
      <c r="I120" s="8"/>
      <c r="J120" s="8"/>
      <c r="K120" s="8"/>
      <c r="L120" s="8"/>
      <c r="M120" s="8"/>
      <c r="N120" s="8"/>
      <c r="O120" s="94"/>
      <c r="P120" s="95"/>
      <c r="Q120" s="97"/>
      <c r="R120" s="8"/>
      <c r="S120" s="8"/>
      <c r="T120" s="8"/>
      <c r="U120" s="8"/>
      <c r="V120" s="8"/>
      <c r="W120" s="8"/>
    </row>
    <row r="121" spans="1:23" ht="15.75" customHeight="1">
      <c r="A121" s="8"/>
      <c r="B121" s="22"/>
      <c r="C121" s="22"/>
      <c r="D121" s="43"/>
      <c r="E121" s="22"/>
      <c r="H121" s="61"/>
      <c r="I121" s="22"/>
      <c r="J121" s="8"/>
      <c r="K121" s="22"/>
      <c r="L121" s="8"/>
      <c r="M121" s="8"/>
      <c r="N121" s="8"/>
      <c r="O121" s="22"/>
      <c r="P121" s="8"/>
      <c r="Q121" s="8"/>
      <c r="R121" s="8"/>
      <c r="S121" s="8"/>
      <c r="T121" s="8"/>
      <c r="U121" s="8"/>
      <c r="V121" s="8"/>
      <c r="W121" s="8"/>
    </row>
    <row r="122" spans="1:23" ht="15.75" customHeight="1">
      <c r="A122" s="8"/>
      <c r="B122" s="22"/>
      <c r="C122" s="8"/>
      <c r="D122" s="43"/>
      <c r="E122" s="22"/>
      <c r="F122" s="69"/>
      <c r="G122" s="22"/>
      <c r="H122" s="87"/>
      <c r="I122" s="22"/>
      <c r="J122" s="8"/>
      <c r="K122" s="22"/>
      <c r="L122" s="8"/>
      <c r="M122" s="8"/>
      <c r="N122" s="8"/>
      <c r="O122" s="22"/>
      <c r="P122" s="8"/>
      <c r="Q122" s="8"/>
      <c r="R122" s="8"/>
      <c r="S122" s="8"/>
      <c r="T122" s="8"/>
      <c r="U122" s="8"/>
      <c r="V122" s="8"/>
      <c r="W122" s="8"/>
    </row>
    <row r="123" spans="1:23" ht="15.75" customHeight="1">
      <c r="A123" s="8"/>
      <c r="B123" s="22"/>
      <c r="C123" s="8"/>
      <c r="D123" s="43"/>
      <c r="E123" s="22"/>
      <c r="F123" s="69"/>
      <c r="G123" s="22"/>
      <c r="H123" s="87"/>
      <c r="I123" s="22"/>
      <c r="J123" s="8"/>
      <c r="K123" s="22"/>
      <c r="L123" s="8"/>
      <c r="M123" s="8"/>
      <c r="N123" s="8"/>
      <c r="O123" s="22"/>
      <c r="P123" s="8"/>
      <c r="Q123" s="8"/>
      <c r="R123" s="8"/>
      <c r="S123" s="8"/>
      <c r="T123" s="8"/>
      <c r="U123" s="8"/>
      <c r="V123" s="8"/>
      <c r="W123" s="8"/>
    </row>
    <row r="124" spans="1:23" ht="15.75" customHeight="1">
      <c r="A124" s="8"/>
      <c r="B124" s="22"/>
      <c r="C124" s="8"/>
      <c r="D124" s="43"/>
      <c r="I124" s="22"/>
      <c r="J124" s="8"/>
      <c r="K124" s="22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5.75" customHeight="1">
      <c r="A125" s="8"/>
      <c r="B125" s="22"/>
      <c r="C125" s="8"/>
      <c r="D125" s="43"/>
      <c r="E125" s="22"/>
      <c r="F125" s="8"/>
      <c r="G125" s="22"/>
      <c r="H125" s="87"/>
      <c r="I125" s="22"/>
      <c r="J125" s="8"/>
      <c r="K125" s="22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5.75" customHeight="1">
      <c r="A126" s="8"/>
      <c r="B126" s="22"/>
      <c r="D126" s="43"/>
      <c r="E126" s="22"/>
      <c r="F126" s="8"/>
      <c r="G126" s="22"/>
      <c r="H126" s="87"/>
      <c r="I126" s="22"/>
      <c r="J126" s="8"/>
      <c r="K126" s="22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5.75" customHeight="1">
      <c r="A127" s="8"/>
      <c r="B127" s="22"/>
      <c r="C127" s="8"/>
      <c r="D127" s="43"/>
      <c r="E127" s="22"/>
      <c r="F127" s="8"/>
      <c r="G127" s="22"/>
      <c r="I127" s="22"/>
      <c r="J127" s="8"/>
      <c r="K127" s="22"/>
      <c r="L127" s="8"/>
      <c r="M127" s="8"/>
      <c r="N127" s="8"/>
      <c r="O127" s="22"/>
      <c r="P127" s="8"/>
      <c r="Q127" s="8"/>
      <c r="R127" s="8"/>
      <c r="S127" s="8"/>
      <c r="T127" s="8"/>
      <c r="U127" s="8"/>
      <c r="V127" s="8"/>
      <c r="W127" s="8"/>
    </row>
    <row r="128" spans="1:23" ht="15.75" customHeight="1">
      <c r="A128" s="8"/>
      <c r="B128" s="22"/>
      <c r="C128" s="8"/>
      <c r="D128" s="43"/>
      <c r="E128" s="22"/>
      <c r="F128" s="8"/>
      <c r="G128" s="22"/>
      <c r="H128" s="87"/>
      <c r="I128" s="22"/>
      <c r="J128" s="8"/>
      <c r="K128" s="22"/>
      <c r="L128" s="8"/>
      <c r="M128" s="8"/>
      <c r="N128" s="8"/>
      <c r="O128" s="22"/>
      <c r="P128" s="8"/>
      <c r="Q128" s="8"/>
      <c r="R128" s="8"/>
      <c r="S128" s="8"/>
      <c r="T128" s="8"/>
      <c r="U128" s="8"/>
      <c r="V128" s="8"/>
      <c r="W128" s="8"/>
    </row>
    <row r="129" spans="1:23" ht="15.75" customHeight="1">
      <c r="A129" s="8"/>
      <c r="B129" s="22"/>
      <c r="C129" s="8"/>
      <c r="D129" s="43"/>
      <c r="E129" s="22"/>
      <c r="F129" s="8"/>
      <c r="G129" s="22"/>
      <c r="H129" s="87"/>
      <c r="I129" s="22"/>
      <c r="J129" s="8"/>
      <c r="K129" s="22"/>
      <c r="L129" s="8"/>
      <c r="M129" s="8"/>
      <c r="N129" s="8"/>
      <c r="O129" s="22"/>
      <c r="P129" s="8"/>
      <c r="Q129" s="8"/>
      <c r="R129" s="8"/>
      <c r="S129" s="8"/>
      <c r="T129" s="8"/>
      <c r="U129" s="8"/>
      <c r="V129" s="8"/>
      <c r="W129" s="8"/>
    </row>
    <row r="130" spans="1:23" ht="15.75" customHeight="1">
      <c r="A130" s="8"/>
      <c r="B130" s="22"/>
      <c r="C130" s="22"/>
      <c r="D130" s="43"/>
      <c r="E130" s="83"/>
      <c r="F130" s="8"/>
      <c r="G130" s="22"/>
      <c r="H130" s="87"/>
      <c r="I130" s="22"/>
      <c r="J130" s="8"/>
      <c r="K130" s="22"/>
      <c r="L130" s="8"/>
      <c r="M130" s="8"/>
      <c r="N130" s="8"/>
      <c r="O130" s="22"/>
      <c r="P130" s="8"/>
      <c r="Q130" s="8"/>
      <c r="R130" s="8"/>
      <c r="S130" s="8"/>
      <c r="T130" s="8"/>
      <c r="U130" s="8"/>
      <c r="V130" s="8"/>
      <c r="W130" s="8"/>
    </row>
    <row r="131" spans="1:23" ht="15.75" customHeight="1">
      <c r="A131" s="8"/>
      <c r="B131" s="22"/>
      <c r="C131" s="8"/>
      <c r="D131" s="43"/>
      <c r="I131" s="22"/>
      <c r="J131" s="8"/>
      <c r="K131" s="22"/>
      <c r="L131" s="8"/>
      <c r="M131" s="8"/>
      <c r="N131" s="8"/>
      <c r="O131" s="22"/>
      <c r="P131" s="8"/>
      <c r="Q131" s="8"/>
      <c r="R131" s="8"/>
      <c r="S131" s="8"/>
      <c r="T131" s="8"/>
      <c r="U131" s="8"/>
      <c r="V131" s="8"/>
      <c r="W131" s="8"/>
    </row>
    <row r="132" spans="1:23" ht="15.75" customHeight="1">
      <c r="A132" s="8"/>
      <c r="B132" s="22"/>
      <c r="C132" s="8"/>
      <c r="D132" s="43"/>
      <c r="E132" s="22"/>
      <c r="F132" s="8"/>
      <c r="G132" s="22"/>
      <c r="H132" s="87"/>
      <c r="I132" s="22"/>
      <c r="J132" s="8"/>
      <c r="K132" s="22"/>
      <c r="L132" s="8"/>
      <c r="M132" s="8"/>
      <c r="N132" s="8"/>
      <c r="O132" s="22"/>
      <c r="P132" s="8"/>
      <c r="Q132" s="8"/>
      <c r="R132" s="8"/>
      <c r="S132" s="8"/>
      <c r="T132" s="8"/>
      <c r="U132" s="8"/>
      <c r="V132" s="8"/>
      <c r="W132" s="8"/>
    </row>
    <row r="133" spans="1:23" ht="15.75" customHeight="1">
      <c r="A133" s="8"/>
      <c r="B133" s="22"/>
      <c r="D133" s="43"/>
      <c r="G133" s="22"/>
      <c r="H133" s="87"/>
      <c r="I133" s="22"/>
      <c r="J133" s="8"/>
      <c r="K133" s="22"/>
      <c r="L133" s="8"/>
      <c r="M133" s="8"/>
      <c r="N133" s="8"/>
      <c r="O133" s="22"/>
      <c r="P133" s="8"/>
      <c r="Q133" s="8"/>
      <c r="R133" s="8"/>
      <c r="S133" s="8"/>
      <c r="T133" s="8"/>
      <c r="U133" s="8"/>
      <c r="V133" s="8"/>
      <c r="W133" s="8"/>
    </row>
    <row r="134" spans="1:23" ht="15.75" customHeight="1">
      <c r="A134" s="8"/>
      <c r="B134" s="22"/>
      <c r="D134" s="43"/>
      <c r="G134" s="22"/>
      <c r="H134" s="87"/>
      <c r="I134" s="22"/>
      <c r="J134" s="8"/>
      <c r="K134" s="22"/>
      <c r="L134" s="8"/>
      <c r="M134" s="8"/>
      <c r="N134" s="8"/>
      <c r="O134" s="22"/>
      <c r="P134" s="8"/>
      <c r="Q134" s="8"/>
      <c r="R134" s="8"/>
      <c r="S134" s="8"/>
      <c r="T134" s="8"/>
      <c r="U134" s="8"/>
      <c r="V134" s="8"/>
      <c r="W134" s="8"/>
    </row>
    <row r="135" spans="1:23" ht="15.75" customHeight="1">
      <c r="A135" s="8"/>
      <c r="B135" s="22"/>
      <c r="C135" s="8"/>
      <c r="D135" s="43"/>
      <c r="E135" s="22"/>
      <c r="F135" s="8"/>
      <c r="G135" s="22"/>
      <c r="H135" s="87"/>
      <c r="I135" s="22"/>
      <c r="J135" s="8"/>
      <c r="K135" s="22"/>
      <c r="L135" s="8"/>
      <c r="M135" s="8"/>
      <c r="N135" s="8"/>
      <c r="O135" s="22"/>
      <c r="P135" s="8"/>
      <c r="Q135" s="8"/>
      <c r="R135" s="8"/>
      <c r="S135" s="8"/>
      <c r="T135" s="8"/>
      <c r="U135" s="8"/>
      <c r="V135" s="8"/>
      <c r="W135" s="8"/>
    </row>
    <row r="136" spans="1:23" ht="15.75" customHeight="1">
      <c r="A136" s="8"/>
      <c r="B136" s="22"/>
      <c r="C136" s="22"/>
      <c r="D136" s="43"/>
      <c r="E136" s="22"/>
      <c r="I136" s="22"/>
      <c r="J136" s="8"/>
      <c r="K136" s="22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5.75" customHeight="1">
      <c r="A137" s="8"/>
      <c r="B137" s="83"/>
      <c r="C137" s="77"/>
      <c r="D137" s="43"/>
      <c r="E137" s="83"/>
      <c r="F137" s="69"/>
      <c r="G137" s="69"/>
      <c r="H137" s="98"/>
      <c r="I137" s="83"/>
      <c r="J137" s="8"/>
      <c r="K137" s="22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5.75" customHeight="1">
      <c r="A138" s="8"/>
      <c r="B138" s="83"/>
      <c r="C138" s="77"/>
      <c r="D138" s="43"/>
      <c r="E138" s="83"/>
      <c r="F138" s="69"/>
      <c r="G138" s="69"/>
      <c r="H138" s="98"/>
      <c r="I138" s="83"/>
      <c r="J138" s="8"/>
      <c r="K138" s="22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5.75" customHeight="1">
      <c r="A139" s="8"/>
      <c r="B139" s="83"/>
      <c r="C139" s="77"/>
      <c r="D139" s="43"/>
      <c r="E139" s="83"/>
      <c r="F139" s="69"/>
      <c r="G139" s="69"/>
      <c r="H139" s="98"/>
      <c r="I139" s="83"/>
      <c r="J139" s="8"/>
      <c r="K139" s="22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5.75" customHeight="1">
      <c r="A140" s="8"/>
      <c r="B140" s="83"/>
      <c r="C140" s="69"/>
      <c r="D140" s="43"/>
      <c r="E140" s="83"/>
      <c r="F140" s="69"/>
      <c r="G140" s="83"/>
      <c r="H140" s="98"/>
      <c r="I140" s="83"/>
      <c r="J140" s="8"/>
      <c r="K140" s="22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5.75" customHeight="1">
      <c r="B141" s="77"/>
      <c r="C141" s="77"/>
      <c r="D141" s="43"/>
      <c r="E141" s="53"/>
      <c r="F141" s="77"/>
      <c r="G141" s="77"/>
      <c r="H141" s="99"/>
      <c r="I141" s="77"/>
    </row>
    <row r="142" spans="1:23" ht="15.75" customHeight="1">
      <c r="D142" s="43"/>
      <c r="E142" s="43"/>
      <c r="H142" s="61"/>
    </row>
    <row r="143" spans="1:23" ht="15.75" customHeight="1">
      <c r="D143" s="43"/>
      <c r="E143" s="43"/>
      <c r="H143" s="61"/>
    </row>
    <row r="144" spans="1:23" ht="15.75" customHeight="1">
      <c r="D144" s="43"/>
      <c r="E144" s="43"/>
      <c r="H144" s="61"/>
    </row>
    <row r="145" spans="4:8" ht="15.75" customHeight="1">
      <c r="D145" s="43"/>
      <c r="E145" s="43"/>
      <c r="H145" s="61"/>
    </row>
    <row r="146" spans="4:8" ht="15.75" customHeight="1">
      <c r="D146" s="43"/>
      <c r="E146" s="43"/>
      <c r="H146" s="61"/>
    </row>
    <row r="147" spans="4:8" ht="15.75" customHeight="1">
      <c r="D147" s="43"/>
      <c r="E147" s="43"/>
      <c r="H147" s="61"/>
    </row>
    <row r="148" spans="4:8" ht="15.75" customHeight="1">
      <c r="D148" s="43"/>
      <c r="E148" s="43"/>
      <c r="H148" s="61"/>
    </row>
    <row r="149" spans="4:8" ht="15.75" customHeight="1">
      <c r="D149" s="43"/>
      <c r="E149" s="43"/>
      <c r="H149" s="61"/>
    </row>
    <row r="150" spans="4:8" ht="15.75" customHeight="1">
      <c r="D150" s="43"/>
      <c r="E150" s="43"/>
      <c r="H150" s="61"/>
    </row>
    <row r="151" spans="4:8" ht="15.75" customHeight="1">
      <c r="D151" s="43"/>
      <c r="E151" s="43"/>
      <c r="H151" s="61"/>
    </row>
    <row r="152" spans="4:8" ht="15.75" customHeight="1">
      <c r="D152" s="43"/>
      <c r="E152" s="43"/>
      <c r="H152" s="61"/>
    </row>
    <row r="153" spans="4:8" ht="15.75" customHeight="1">
      <c r="D153" s="43"/>
      <c r="E153" s="43"/>
      <c r="H153" s="61"/>
    </row>
    <row r="154" spans="4:8" ht="15.75" customHeight="1">
      <c r="D154" s="43"/>
      <c r="E154" s="43"/>
      <c r="H154" s="61"/>
    </row>
    <row r="155" spans="4:8" ht="15.75" customHeight="1">
      <c r="D155" s="43"/>
      <c r="E155" s="43"/>
      <c r="H155" s="61"/>
    </row>
    <row r="156" spans="4:8" ht="15.75" customHeight="1">
      <c r="D156" s="43"/>
      <c r="E156" s="43"/>
      <c r="H156" s="61"/>
    </row>
    <row r="157" spans="4:8" ht="15.75" customHeight="1">
      <c r="D157" s="43"/>
      <c r="E157" s="43"/>
      <c r="H157" s="61"/>
    </row>
    <row r="158" spans="4:8" ht="15.75" customHeight="1">
      <c r="D158" s="43"/>
      <c r="E158" s="43"/>
      <c r="H158" s="61"/>
    </row>
    <row r="159" spans="4:8" ht="15.75" customHeight="1">
      <c r="D159" s="43"/>
      <c r="E159" s="43"/>
      <c r="H159" s="61"/>
    </row>
    <row r="160" spans="4:8" ht="15.75" customHeight="1">
      <c r="D160" s="43"/>
      <c r="E160" s="43"/>
      <c r="H160" s="61"/>
    </row>
    <row r="161" spans="4:8" ht="15.75" customHeight="1">
      <c r="D161" s="43"/>
      <c r="E161" s="43"/>
      <c r="H161" s="61"/>
    </row>
    <row r="162" spans="4:8" ht="15.75" customHeight="1">
      <c r="D162" s="43"/>
      <c r="E162" s="43"/>
      <c r="H162" s="61"/>
    </row>
    <row r="163" spans="4:8" ht="15.75" customHeight="1">
      <c r="D163" s="43"/>
      <c r="E163" s="43"/>
      <c r="H163" s="61"/>
    </row>
    <row r="164" spans="4:8" ht="15.75" customHeight="1">
      <c r="D164" s="43"/>
      <c r="E164" s="43"/>
      <c r="H164" s="61"/>
    </row>
    <row r="165" spans="4:8" ht="15.75" customHeight="1">
      <c r="D165" s="43"/>
      <c r="E165" s="43"/>
      <c r="H165" s="61"/>
    </row>
    <row r="166" spans="4:8" ht="15.75" customHeight="1">
      <c r="D166" s="43"/>
      <c r="E166" s="43"/>
      <c r="H166" s="61"/>
    </row>
    <row r="167" spans="4:8" ht="15.75" customHeight="1">
      <c r="D167" s="43"/>
      <c r="E167" s="43"/>
      <c r="H167" s="61"/>
    </row>
    <row r="168" spans="4:8" ht="15.75" customHeight="1">
      <c r="D168" s="43"/>
      <c r="E168" s="43"/>
      <c r="H168" s="61"/>
    </row>
    <row r="169" spans="4:8" ht="15.75" customHeight="1">
      <c r="D169" s="43"/>
      <c r="E169" s="43"/>
      <c r="H169" s="61"/>
    </row>
    <row r="170" spans="4:8" ht="15.75" customHeight="1">
      <c r="D170" s="43"/>
      <c r="E170" s="43"/>
      <c r="H170" s="61"/>
    </row>
    <row r="171" spans="4:8" ht="15.75" customHeight="1">
      <c r="D171" s="43"/>
      <c r="E171" s="43"/>
      <c r="H171" s="61"/>
    </row>
    <row r="172" spans="4:8" ht="15.75" customHeight="1">
      <c r="D172" s="43"/>
      <c r="E172" s="43"/>
      <c r="H172" s="61"/>
    </row>
    <row r="173" spans="4:8" ht="15.75" customHeight="1">
      <c r="D173" s="43"/>
      <c r="E173" s="43"/>
      <c r="H173" s="61"/>
    </row>
    <row r="174" spans="4:8" ht="15.75" customHeight="1">
      <c r="D174" s="43"/>
      <c r="E174" s="43"/>
      <c r="H174" s="61"/>
    </row>
    <row r="175" spans="4:8" ht="15.75" customHeight="1">
      <c r="D175" s="43"/>
      <c r="E175" s="43"/>
      <c r="H175" s="61"/>
    </row>
    <row r="176" spans="4:8" ht="15.75" customHeight="1">
      <c r="D176" s="43"/>
      <c r="E176" s="43"/>
      <c r="H176" s="61"/>
    </row>
    <row r="177" spans="4:8" ht="15.75" customHeight="1">
      <c r="D177" s="43"/>
      <c r="E177" s="43"/>
      <c r="H177" s="61"/>
    </row>
    <row r="178" spans="4:8" ht="15.75" customHeight="1">
      <c r="D178" s="43"/>
      <c r="E178" s="43"/>
      <c r="H178" s="61"/>
    </row>
    <row r="179" spans="4:8" ht="15.75" customHeight="1">
      <c r="D179" s="43"/>
      <c r="E179" s="43"/>
      <c r="H179" s="61"/>
    </row>
    <row r="180" spans="4:8" ht="15.75" customHeight="1">
      <c r="D180" s="43"/>
      <c r="E180" s="43"/>
      <c r="H180" s="61"/>
    </row>
    <row r="181" spans="4:8" ht="15.75" customHeight="1">
      <c r="D181" s="43"/>
      <c r="E181" s="43"/>
      <c r="H181" s="61"/>
    </row>
    <row r="182" spans="4:8" ht="15.75" customHeight="1">
      <c r="D182" s="43"/>
      <c r="E182" s="43"/>
      <c r="H182" s="61"/>
    </row>
    <row r="183" spans="4:8" ht="15.75" customHeight="1">
      <c r="D183" s="43"/>
      <c r="E183" s="43"/>
      <c r="H183" s="61"/>
    </row>
    <row r="184" spans="4:8" ht="15.75" customHeight="1">
      <c r="D184" s="43"/>
      <c r="E184" s="43"/>
      <c r="H184" s="61"/>
    </row>
    <row r="185" spans="4:8" ht="15.75" customHeight="1">
      <c r="D185" s="43"/>
      <c r="E185" s="43"/>
      <c r="H185" s="61"/>
    </row>
    <row r="186" spans="4:8" ht="15.75" customHeight="1">
      <c r="D186" s="43"/>
      <c r="E186" s="43"/>
      <c r="H186" s="61"/>
    </row>
    <row r="187" spans="4:8" ht="15.75" customHeight="1">
      <c r="D187" s="43"/>
      <c r="E187" s="43"/>
      <c r="H187" s="61"/>
    </row>
    <row r="188" spans="4:8" ht="15.75" customHeight="1">
      <c r="D188" s="43"/>
      <c r="E188" s="43"/>
      <c r="H188" s="61"/>
    </row>
    <row r="189" spans="4:8" ht="15.75" customHeight="1">
      <c r="D189" s="43"/>
      <c r="E189" s="43"/>
      <c r="H189" s="61"/>
    </row>
    <row r="190" spans="4:8" ht="15.75" customHeight="1">
      <c r="D190" s="43"/>
      <c r="E190" s="43"/>
      <c r="H190" s="61"/>
    </row>
    <row r="191" spans="4:8" ht="15.75" customHeight="1">
      <c r="D191" s="43"/>
      <c r="E191" s="43"/>
      <c r="H191" s="61"/>
    </row>
    <row r="192" spans="4:8" ht="15.75" customHeight="1">
      <c r="D192" s="43"/>
      <c r="E192" s="43"/>
      <c r="H192" s="61"/>
    </row>
    <row r="193" spans="4:8" ht="15.75" customHeight="1">
      <c r="D193" s="43"/>
      <c r="E193" s="43"/>
      <c r="H193" s="61"/>
    </row>
    <row r="194" spans="4:8" ht="15.75" customHeight="1">
      <c r="D194" s="43"/>
      <c r="E194" s="43"/>
      <c r="H194" s="61"/>
    </row>
    <row r="195" spans="4:8" ht="15.75" customHeight="1">
      <c r="D195" s="43"/>
      <c r="E195" s="43"/>
      <c r="H195" s="61"/>
    </row>
    <row r="196" spans="4:8" ht="15.75" customHeight="1">
      <c r="D196" s="43"/>
      <c r="E196" s="43"/>
      <c r="H196" s="61"/>
    </row>
    <row r="197" spans="4:8" ht="15.75" customHeight="1">
      <c r="D197" s="43"/>
      <c r="E197" s="43"/>
      <c r="H197" s="61"/>
    </row>
    <row r="198" spans="4:8" ht="15.75" customHeight="1">
      <c r="D198" s="43"/>
      <c r="E198" s="43"/>
      <c r="H198" s="61"/>
    </row>
    <row r="199" spans="4:8" ht="15.75" customHeight="1">
      <c r="D199" s="43"/>
      <c r="E199" s="43"/>
      <c r="H199" s="61"/>
    </row>
    <row r="200" spans="4:8" ht="15.75" customHeight="1">
      <c r="D200" s="43"/>
      <c r="E200" s="43"/>
      <c r="H200" s="61"/>
    </row>
    <row r="201" spans="4:8" ht="15.75" customHeight="1">
      <c r="D201" s="43"/>
      <c r="E201" s="43"/>
      <c r="H201" s="61"/>
    </row>
    <row r="202" spans="4:8" ht="15.75" customHeight="1">
      <c r="D202" s="43"/>
      <c r="E202" s="43"/>
      <c r="H202" s="61"/>
    </row>
    <row r="203" spans="4:8" ht="15.75" customHeight="1">
      <c r="D203" s="43"/>
      <c r="E203" s="43"/>
      <c r="H203" s="61"/>
    </row>
    <row r="204" spans="4:8" ht="15.75" customHeight="1">
      <c r="D204" s="43"/>
      <c r="E204" s="43"/>
      <c r="H204" s="61"/>
    </row>
    <row r="205" spans="4:8" ht="15.75" customHeight="1">
      <c r="D205" s="43"/>
      <c r="E205" s="43"/>
      <c r="H205" s="61"/>
    </row>
    <row r="206" spans="4:8" ht="15.75" customHeight="1">
      <c r="D206" s="43"/>
      <c r="E206" s="43"/>
      <c r="H206" s="61"/>
    </row>
    <row r="207" spans="4:8" ht="15.75" customHeight="1">
      <c r="D207" s="43"/>
      <c r="E207" s="43"/>
      <c r="H207" s="61"/>
    </row>
    <row r="208" spans="4:8" ht="15.75" customHeight="1">
      <c r="D208" s="43"/>
      <c r="E208" s="43"/>
      <c r="H208" s="61"/>
    </row>
    <row r="209" spans="4:8" ht="15.75" customHeight="1">
      <c r="D209" s="43"/>
      <c r="E209" s="43"/>
      <c r="H209" s="61"/>
    </row>
    <row r="210" spans="4:8" ht="15.75" customHeight="1">
      <c r="D210" s="43"/>
      <c r="E210" s="43"/>
      <c r="H210" s="61"/>
    </row>
    <row r="211" spans="4:8" ht="15.75" customHeight="1">
      <c r="D211" s="43"/>
      <c r="E211" s="43"/>
      <c r="H211" s="61"/>
    </row>
    <row r="212" spans="4:8" ht="15.75" customHeight="1">
      <c r="D212" s="43"/>
      <c r="E212" s="43"/>
      <c r="H212" s="61"/>
    </row>
    <row r="213" spans="4:8" ht="15.75" customHeight="1">
      <c r="D213" s="43"/>
      <c r="E213" s="43"/>
      <c r="H213" s="61"/>
    </row>
    <row r="214" spans="4:8" ht="15.75" customHeight="1">
      <c r="D214" s="43"/>
      <c r="E214" s="43"/>
      <c r="H214" s="61"/>
    </row>
    <row r="215" spans="4:8" ht="15.75" customHeight="1">
      <c r="D215" s="43"/>
      <c r="E215" s="43"/>
      <c r="H215" s="61"/>
    </row>
    <row r="216" spans="4:8" ht="15.75" customHeight="1">
      <c r="D216" s="43"/>
      <c r="E216" s="43"/>
      <c r="H216" s="61"/>
    </row>
    <row r="217" spans="4:8" ht="15.75" customHeight="1">
      <c r="D217" s="43"/>
      <c r="E217" s="43"/>
      <c r="H217" s="61"/>
    </row>
    <row r="218" spans="4:8" ht="15.75" customHeight="1">
      <c r="D218" s="43"/>
      <c r="E218" s="43"/>
      <c r="H218" s="61"/>
    </row>
    <row r="219" spans="4:8" ht="15.75" customHeight="1">
      <c r="D219" s="43"/>
      <c r="E219" s="43"/>
      <c r="H219" s="61"/>
    </row>
    <row r="220" spans="4:8" ht="15.75" customHeight="1">
      <c r="D220" s="43"/>
      <c r="E220" s="43"/>
      <c r="H220" s="61"/>
    </row>
    <row r="221" spans="4:8" ht="15.75" customHeight="1">
      <c r="D221" s="43"/>
      <c r="E221" s="43"/>
      <c r="H221" s="61"/>
    </row>
    <row r="222" spans="4:8" ht="15.75" customHeight="1">
      <c r="D222" s="43"/>
      <c r="E222" s="43"/>
      <c r="H222" s="61"/>
    </row>
    <row r="223" spans="4:8" ht="15.75" customHeight="1">
      <c r="D223" s="43"/>
      <c r="E223" s="43"/>
      <c r="H223" s="61"/>
    </row>
    <row r="224" spans="4:8" ht="15.75" customHeight="1">
      <c r="D224" s="43"/>
      <c r="E224" s="43"/>
      <c r="H224" s="61"/>
    </row>
    <row r="225" spans="4:8" ht="15.75" customHeight="1">
      <c r="D225" s="43"/>
      <c r="E225" s="43"/>
      <c r="H225" s="61"/>
    </row>
    <row r="226" spans="4:8" ht="15.75" customHeight="1">
      <c r="D226" s="43"/>
      <c r="E226" s="43"/>
      <c r="H226" s="61"/>
    </row>
    <row r="227" spans="4:8" ht="15.75" customHeight="1">
      <c r="D227" s="43"/>
      <c r="E227" s="43"/>
      <c r="H227" s="61"/>
    </row>
    <row r="228" spans="4:8" ht="15.75" customHeight="1">
      <c r="D228" s="43"/>
      <c r="E228" s="43"/>
      <c r="H228" s="61"/>
    </row>
    <row r="229" spans="4:8" ht="15.75" customHeight="1">
      <c r="D229" s="43"/>
      <c r="E229" s="43"/>
      <c r="H229" s="61"/>
    </row>
    <row r="230" spans="4:8" ht="15.75" customHeight="1">
      <c r="D230" s="43"/>
      <c r="E230" s="43"/>
      <c r="H230" s="61"/>
    </row>
    <row r="231" spans="4:8" ht="15.75" customHeight="1">
      <c r="D231" s="43"/>
      <c r="E231" s="43"/>
      <c r="H231" s="61"/>
    </row>
    <row r="232" spans="4:8" ht="15.75" customHeight="1">
      <c r="D232" s="43"/>
      <c r="E232" s="43"/>
      <c r="H232" s="61"/>
    </row>
    <row r="233" spans="4:8" ht="15.75" customHeight="1">
      <c r="D233" s="43"/>
      <c r="E233" s="43"/>
      <c r="H233" s="61"/>
    </row>
    <row r="234" spans="4:8" ht="15.75" customHeight="1">
      <c r="D234" s="43"/>
      <c r="E234" s="43"/>
      <c r="H234" s="61"/>
    </row>
    <row r="235" spans="4:8" ht="15.75" customHeight="1">
      <c r="D235" s="43"/>
      <c r="E235" s="43"/>
      <c r="H235" s="61"/>
    </row>
    <row r="236" spans="4:8" ht="15.75" customHeight="1">
      <c r="D236" s="43"/>
      <c r="E236" s="43"/>
      <c r="H236" s="61"/>
    </row>
    <row r="237" spans="4:8" ht="15.75" customHeight="1">
      <c r="D237" s="43"/>
      <c r="E237" s="43"/>
      <c r="H237" s="61"/>
    </row>
    <row r="238" spans="4:8" ht="15.75" customHeight="1">
      <c r="D238" s="43"/>
      <c r="E238" s="43"/>
      <c r="H238" s="61"/>
    </row>
    <row r="239" spans="4:8" ht="15.75" customHeight="1">
      <c r="D239" s="43"/>
      <c r="E239" s="43"/>
      <c r="H239" s="61"/>
    </row>
    <row r="240" spans="4:8" ht="15.75" customHeight="1">
      <c r="D240" s="43"/>
      <c r="E240" s="43"/>
      <c r="H240" s="61"/>
    </row>
    <row r="241" spans="4:8" ht="15.75" customHeight="1">
      <c r="D241" s="43"/>
      <c r="E241" s="43"/>
      <c r="H241" s="61"/>
    </row>
    <row r="242" spans="4:8" ht="15.75" customHeight="1">
      <c r="D242" s="43"/>
      <c r="E242" s="43"/>
      <c r="H242" s="61"/>
    </row>
    <row r="243" spans="4:8" ht="15.75" customHeight="1">
      <c r="D243" s="43"/>
      <c r="E243" s="43"/>
      <c r="H243" s="61"/>
    </row>
    <row r="244" spans="4:8" ht="15.75" customHeight="1">
      <c r="D244" s="43"/>
      <c r="E244" s="43"/>
      <c r="H244" s="61"/>
    </row>
    <row r="245" spans="4:8" ht="15.75" customHeight="1">
      <c r="D245" s="43"/>
      <c r="E245" s="43"/>
      <c r="H245" s="61"/>
    </row>
    <row r="246" spans="4:8" ht="15.75" customHeight="1">
      <c r="D246" s="43"/>
      <c r="E246" s="43"/>
      <c r="H246" s="61"/>
    </row>
    <row r="247" spans="4:8" ht="15.75" customHeight="1">
      <c r="D247" s="43"/>
      <c r="E247" s="43"/>
      <c r="H247" s="61"/>
    </row>
    <row r="248" spans="4:8" ht="15.75" customHeight="1">
      <c r="D248" s="43"/>
      <c r="E248" s="43"/>
      <c r="H248" s="61"/>
    </row>
    <row r="249" spans="4:8" ht="15.75" customHeight="1">
      <c r="D249" s="43"/>
      <c r="E249" s="43"/>
      <c r="H249" s="61"/>
    </row>
    <row r="250" spans="4:8" ht="15.75" customHeight="1">
      <c r="D250" s="43"/>
      <c r="E250" s="43"/>
      <c r="H250" s="61"/>
    </row>
    <row r="251" spans="4:8" ht="15.75" customHeight="1">
      <c r="D251" s="43"/>
      <c r="E251" s="43"/>
      <c r="H251" s="61"/>
    </row>
    <row r="252" spans="4:8" ht="15.75" customHeight="1">
      <c r="D252" s="43"/>
      <c r="E252" s="43"/>
      <c r="H252" s="61"/>
    </row>
    <row r="253" spans="4:8" ht="15.75" customHeight="1">
      <c r="D253" s="43"/>
      <c r="E253" s="43"/>
      <c r="H253" s="61"/>
    </row>
    <row r="254" spans="4:8" ht="15.75" customHeight="1">
      <c r="D254" s="43"/>
      <c r="E254" s="43"/>
      <c r="H254" s="61"/>
    </row>
    <row r="255" spans="4:8" ht="15.75" customHeight="1">
      <c r="D255" s="43"/>
      <c r="E255" s="43"/>
      <c r="H255" s="61"/>
    </row>
    <row r="256" spans="4:8" ht="15.75" customHeight="1">
      <c r="D256" s="43"/>
      <c r="E256" s="43"/>
      <c r="H256" s="61"/>
    </row>
    <row r="257" spans="4:8" ht="15.75" customHeight="1">
      <c r="D257" s="43"/>
      <c r="E257" s="43"/>
      <c r="H257" s="61"/>
    </row>
    <row r="258" spans="4:8" ht="15.75" customHeight="1">
      <c r="D258" s="43"/>
      <c r="E258" s="43"/>
      <c r="H258" s="61"/>
    </row>
    <row r="259" spans="4:8" ht="15.75" customHeight="1">
      <c r="D259" s="43"/>
      <c r="E259" s="43"/>
      <c r="H259" s="61"/>
    </row>
    <row r="260" spans="4:8" ht="15.75" customHeight="1">
      <c r="D260" s="43"/>
      <c r="E260" s="43"/>
      <c r="H260" s="61"/>
    </row>
    <row r="261" spans="4:8" ht="15.75" customHeight="1">
      <c r="D261" s="43"/>
      <c r="E261" s="43"/>
      <c r="H261" s="61"/>
    </row>
    <row r="262" spans="4:8" ht="15.75" customHeight="1">
      <c r="D262" s="43"/>
      <c r="E262" s="43"/>
      <c r="H262" s="61"/>
    </row>
    <row r="263" spans="4:8" ht="15.75" customHeight="1">
      <c r="D263" s="43"/>
      <c r="E263" s="43"/>
      <c r="H263" s="61"/>
    </row>
    <row r="264" spans="4:8" ht="15.75" customHeight="1">
      <c r="D264" s="43"/>
      <c r="E264" s="43"/>
      <c r="H264" s="61"/>
    </row>
    <row r="265" spans="4:8" ht="15.75" customHeight="1">
      <c r="D265" s="43"/>
      <c r="E265" s="43"/>
      <c r="H265" s="61"/>
    </row>
    <row r="266" spans="4:8" ht="15.75" customHeight="1">
      <c r="D266" s="43"/>
      <c r="E266" s="43"/>
      <c r="H266" s="61"/>
    </row>
    <row r="267" spans="4:8" ht="15.75" customHeight="1">
      <c r="D267" s="43"/>
      <c r="E267" s="43"/>
      <c r="H267" s="61"/>
    </row>
    <row r="268" spans="4:8" ht="15.75" customHeight="1">
      <c r="D268" s="43"/>
      <c r="E268" s="43"/>
      <c r="H268" s="61"/>
    </row>
    <row r="269" spans="4:8" ht="15.75" customHeight="1">
      <c r="D269" s="43"/>
      <c r="E269" s="43"/>
      <c r="H269" s="61"/>
    </row>
    <row r="270" spans="4:8" ht="15.75" customHeight="1">
      <c r="D270" s="43"/>
      <c r="E270" s="43"/>
      <c r="H270" s="61"/>
    </row>
    <row r="271" spans="4:8" ht="15.75" customHeight="1">
      <c r="D271" s="43"/>
      <c r="E271" s="43"/>
      <c r="H271" s="61"/>
    </row>
    <row r="272" spans="4:8" ht="15.75" customHeight="1">
      <c r="D272" s="43"/>
      <c r="E272" s="43"/>
      <c r="H272" s="61"/>
    </row>
    <row r="273" spans="4:8" ht="15.75" customHeight="1">
      <c r="D273" s="43"/>
      <c r="E273" s="43"/>
      <c r="H273" s="61"/>
    </row>
    <row r="274" spans="4:8" ht="15.75" customHeight="1">
      <c r="D274" s="43"/>
      <c r="E274" s="43"/>
      <c r="H274" s="61"/>
    </row>
    <row r="275" spans="4:8" ht="15.75" customHeight="1">
      <c r="D275" s="43"/>
      <c r="E275" s="43"/>
      <c r="H275" s="61"/>
    </row>
    <row r="276" spans="4:8" ht="15.75" customHeight="1">
      <c r="D276" s="43"/>
      <c r="E276" s="43"/>
      <c r="H276" s="61"/>
    </row>
    <row r="277" spans="4:8" ht="15.75" customHeight="1">
      <c r="D277" s="43"/>
      <c r="E277" s="43"/>
      <c r="H277" s="61"/>
    </row>
    <row r="278" spans="4:8" ht="15.75" customHeight="1">
      <c r="D278" s="43"/>
      <c r="E278" s="43"/>
      <c r="H278" s="61"/>
    </row>
    <row r="279" spans="4:8" ht="15.75" customHeight="1">
      <c r="D279" s="43"/>
      <c r="E279" s="43"/>
      <c r="H279" s="61"/>
    </row>
    <row r="280" spans="4:8" ht="15.75" customHeight="1">
      <c r="D280" s="43"/>
      <c r="E280" s="43"/>
      <c r="H280" s="61"/>
    </row>
    <row r="281" spans="4:8" ht="15.75" customHeight="1">
      <c r="D281" s="43"/>
      <c r="E281" s="43"/>
      <c r="H281" s="61"/>
    </row>
    <row r="282" spans="4:8" ht="15.75" customHeight="1">
      <c r="D282" s="43"/>
      <c r="E282" s="43"/>
      <c r="H282" s="61"/>
    </row>
    <row r="283" spans="4:8" ht="15.75" customHeight="1">
      <c r="D283" s="43"/>
      <c r="E283" s="43"/>
      <c r="H283" s="61"/>
    </row>
    <row r="284" spans="4:8" ht="15.75" customHeight="1">
      <c r="D284" s="43"/>
      <c r="E284" s="43"/>
      <c r="H284" s="61"/>
    </row>
    <row r="285" spans="4:8" ht="15.75" customHeight="1">
      <c r="D285" s="43"/>
      <c r="E285" s="43"/>
      <c r="H285" s="61"/>
    </row>
    <row r="286" spans="4:8" ht="15.75" customHeight="1">
      <c r="D286" s="43"/>
      <c r="E286" s="43"/>
      <c r="H286" s="61"/>
    </row>
    <row r="287" spans="4:8" ht="15.75" customHeight="1">
      <c r="D287" s="43"/>
      <c r="E287" s="43"/>
      <c r="H287" s="61"/>
    </row>
    <row r="288" spans="4:8" ht="15.75" customHeight="1">
      <c r="D288" s="43"/>
      <c r="E288" s="43"/>
      <c r="H288" s="61"/>
    </row>
    <row r="289" spans="4:8" ht="15.75" customHeight="1">
      <c r="D289" s="43"/>
      <c r="E289" s="43"/>
      <c r="H289" s="61"/>
    </row>
    <row r="290" spans="4:8" ht="15.75" customHeight="1">
      <c r="D290" s="43"/>
      <c r="E290" s="43"/>
      <c r="H290" s="61"/>
    </row>
    <row r="291" spans="4:8" ht="15.75" customHeight="1">
      <c r="D291" s="43"/>
      <c r="E291" s="43"/>
      <c r="H291" s="61"/>
    </row>
    <row r="292" spans="4:8" ht="15.75" customHeight="1">
      <c r="D292" s="43"/>
      <c r="E292" s="43"/>
      <c r="H292" s="61"/>
    </row>
    <row r="293" spans="4:8" ht="15.75" customHeight="1">
      <c r="D293" s="43"/>
      <c r="E293" s="43"/>
      <c r="H293" s="61"/>
    </row>
    <row r="294" spans="4:8" ht="15.75" customHeight="1">
      <c r="D294" s="43"/>
      <c r="E294" s="43"/>
      <c r="H294" s="61"/>
    </row>
    <row r="295" spans="4:8" ht="15.75" customHeight="1">
      <c r="D295" s="43"/>
      <c r="E295" s="43"/>
      <c r="H295" s="61"/>
    </row>
    <row r="296" spans="4:8" ht="15.75" customHeight="1">
      <c r="D296" s="43"/>
      <c r="E296" s="43"/>
      <c r="H296" s="61"/>
    </row>
    <row r="297" spans="4:8" ht="15.75" customHeight="1">
      <c r="D297" s="43"/>
      <c r="E297" s="43"/>
      <c r="H297" s="61"/>
    </row>
    <row r="298" spans="4:8" ht="15.75" customHeight="1">
      <c r="D298" s="43"/>
      <c r="E298" s="43"/>
      <c r="H298" s="61"/>
    </row>
    <row r="299" spans="4:8" ht="15.75" customHeight="1">
      <c r="D299" s="43"/>
      <c r="E299" s="43"/>
      <c r="H299" s="61"/>
    </row>
    <row r="300" spans="4:8" ht="15.75" customHeight="1">
      <c r="D300" s="43"/>
      <c r="E300" s="43"/>
      <c r="H300" s="61"/>
    </row>
    <row r="301" spans="4:8" ht="15.75" customHeight="1">
      <c r="D301" s="43"/>
      <c r="E301" s="43"/>
      <c r="H301" s="61"/>
    </row>
    <row r="302" spans="4:8" ht="15.75" customHeight="1">
      <c r="D302" s="43"/>
      <c r="E302" s="43"/>
      <c r="H302" s="61"/>
    </row>
    <row r="303" spans="4:8" ht="15.75" customHeight="1">
      <c r="D303" s="43"/>
      <c r="E303" s="43"/>
      <c r="H303" s="61"/>
    </row>
    <row r="304" spans="4:8" ht="15.75" customHeight="1">
      <c r="D304" s="43"/>
      <c r="E304" s="43"/>
      <c r="H304" s="61"/>
    </row>
    <row r="305" spans="4:8" ht="15.75" customHeight="1">
      <c r="D305" s="43"/>
      <c r="E305" s="43"/>
      <c r="H305" s="61"/>
    </row>
    <row r="306" spans="4:8" ht="15.75" customHeight="1">
      <c r="D306" s="43"/>
      <c r="E306" s="43"/>
      <c r="H306" s="61"/>
    </row>
    <row r="307" spans="4:8" ht="15.75" customHeight="1">
      <c r="D307" s="43"/>
      <c r="E307" s="43"/>
      <c r="H307" s="61"/>
    </row>
    <row r="308" spans="4:8" ht="15.75" customHeight="1">
      <c r="D308" s="43"/>
      <c r="E308" s="43"/>
      <c r="H308" s="61"/>
    </row>
    <row r="309" spans="4:8" ht="15.75" customHeight="1">
      <c r="D309" s="43"/>
      <c r="E309" s="43"/>
      <c r="H309" s="61"/>
    </row>
    <row r="310" spans="4:8" ht="15.75" customHeight="1">
      <c r="D310" s="43"/>
      <c r="E310" s="43"/>
      <c r="H310" s="61"/>
    </row>
    <row r="311" spans="4:8" ht="15.75" customHeight="1">
      <c r="D311" s="43"/>
      <c r="E311" s="43"/>
      <c r="H311" s="61"/>
    </row>
    <row r="312" spans="4:8" ht="15.75" customHeight="1">
      <c r="D312" s="43"/>
      <c r="E312" s="43"/>
      <c r="H312" s="61"/>
    </row>
    <row r="313" spans="4:8" ht="15.75" customHeight="1">
      <c r="D313" s="43"/>
      <c r="E313" s="43"/>
      <c r="H313" s="61"/>
    </row>
    <row r="314" spans="4:8" ht="15.75" customHeight="1">
      <c r="D314" s="43"/>
      <c r="E314" s="43"/>
      <c r="H314" s="61"/>
    </row>
    <row r="315" spans="4:8" ht="15.75" customHeight="1">
      <c r="D315" s="43"/>
      <c r="E315" s="43"/>
      <c r="H315" s="61"/>
    </row>
    <row r="316" spans="4:8" ht="15.75" customHeight="1">
      <c r="D316" s="43"/>
      <c r="E316" s="43"/>
      <c r="H316" s="61"/>
    </row>
    <row r="317" spans="4:8" ht="15.75" customHeight="1">
      <c r="D317" s="43"/>
      <c r="E317" s="43"/>
      <c r="H317" s="61"/>
    </row>
    <row r="318" spans="4:8" ht="15.75" customHeight="1">
      <c r="D318" s="43"/>
      <c r="E318" s="43"/>
      <c r="H318" s="61"/>
    </row>
    <row r="319" spans="4:8" ht="15.75" customHeight="1">
      <c r="D319" s="43"/>
      <c r="E319" s="43"/>
      <c r="H319" s="61"/>
    </row>
    <row r="320" spans="4:8" ht="15.75" customHeight="1">
      <c r="D320" s="43"/>
      <c r="E320" s="43"/>
      <c r="H320" s="61"/>
    </row>
    <row r="321" spans="4:8" ht="15.75" customHeight="1">
      <c r="D321" s="43"/>
      <c r="E321" s="43"/>
      <c r="H321" s="61"/>
    </row>
    <row r="322" spans="4:8" ht="15.75" customHeight="1">
      <c r="D322" s="43"/>
      <c r="E322" s="43"/>
      <c r="H322" s="61"/>
    </row>
    <row r="323" spans="4:8" ht="15.75" customHeight="1">
      <c r="D323" s="43"/>
      <c r="E323" s="43"/>
      <c r="H323" s="61"/>
    </row>
    <row r="324" spans="4:8" ht="15.75" customHeight="1">
      <c r="D324" s="43"/>
      <c r="E324" s="43"/>
      <c r="H324" s="61"/>
    </row>
    <row r="325" spans="4:8" ht="15.75" customHeight="1">
      <c r="D325" s="43"/>
      <c r="E325" s="43"/>
      <c r="H325" s="61"/>
    </row>
    <row r="326" spans="4:8" ht="15.75" customHeight="1">
      <c r="D326" s="43"/>
      <c r="E326" s="43"/>
      <c r="H326" s="61"/>
    </row>
    <row r="327" spans="4:8" ht="15.75" customHeight="1">
      <c r="D327" s="43"/>
      <c r="E327" s="43"/>
      <c r="H327" s="61"/>
    </row>
    <row r="328" spans="4:8" ht="15.75" customHeight="1">
      <c r="D328" s="43"/>
      <c r="E328" s="43"/>
      <c r="H328" s="61"/>
    </row>
    <row r="329" spans="4:8" ht="15.75" customHeight="1">
      <c r="D329" s="43"/>
      <c r="E329" s="43"/>
      <c r="H329" s="61"/>
    </row>
    <row r="330" spans="4:8" ht="15.75" customHeight="1">
      <c r="D330" s="43"/>
      <c r="E330" s="43"/>
      <c r="H330" s="61"/>
    </row>
    <row r="331" spans="4:8" ht="15.75" customHeight="1">
      <c r="D331" s="43"/>
      <c r="E331" s="43"/>
      <c r="H331" s="61"/>
    </row>
    <row r="332" spans="4:8" ht="15.75" customHeight="1">
      <c r="D332" s="43"/>
      <c r="E332" s="43"/>
      <c r="H332" s="61"/>
    </row>
    <row r="333" spans="4:8" ht="15.75" customHeight="1">
      <c r="D333" s="43"/>
      <c r="E333" s="43"/>
      <c r="H333" s="61"/>
    </row>
    <row r="334" spans="4:8" ht="15.75" customHeight="1">
      <c r="D334" s="43"/>
      <c r="E334" s="43"/>
      <c r="H334" s="61"/>
    </row>
    <row r="335" spans="4:8" ht="15.75" customHeight="1">
      <c r="D335" s="43"/>
      <c r="E335" s="43"/>
      <c r="H335" s="61"/>
    </row>
    <row r="336" spans="4:8" ht="15.75" customHeight="1">
      <c r="D336" s="43"/>
      <c r="E336" s="43"/>
      <c r="H336" s="61"/>
    </row>
    <row r="337" spans="4:8" ht="15.75" customHeight="1">
      <c r="D337" s="43"/>
      <c r="E337" s="43"/>
      <c r="H337" s="61"/>
    </row>
    <row r="338" spans="4:8" ht="15.75" customHeight="1">
      <c r="D338" s="43"/>
      <c r="E338" s="43"/>
      <c r="H338" s="61"/>
    </row>
    <row r="339" spans="4:8" ht="15.75" customHeight="1">
      <c r="D339" s="43"/>
      <c r="E339" s="43"/>
      <c r="H339" s="61"/>
    </row>
    <row r="340" spans="4:8" ht="15.75" customHeight="1">
      <c r="D340" s="43"/>
      <c r="E340" s="43"/>
      <c r="H340" s="61"/>
    </row>
    <row r="341" spans="4:8" ht="15.75" customHeight="1">
      <c r="D341" s="43"/>
      <c r="E341" s="43"/>
      <c r="H341" s="61"/>
    </row>
    <row r="342" spans="4:8" ht="15.75" customHeight="1">
      <c r="D342" s="43"/>
      <c r="E342" s="43"/>
      <c r="H342" s="61"/>
    </row>
    <row r="343" spans="4:8" ht="15.75" customHeight="1">
      <c r="D343" s="43"/>
      <c r="E343" s="43"/>
      <c r="H343" s="61"/>
    </row>
    <row r="344" spans="4:8" ht="15.75" customHeight="1">
      <c r="D344" s="43"/>
      <c r="E344" s="43"/>
      <c r="H344" s="61"/>
    </row>
    <row r="345" spans="4:8" ht="15.75" customHeight="1">
      <c r="D345" s="43"/>
      <c r="E345" s="43"/>
      <c r="H345" s="61"/>
    </row>
    <row r="346" spans="4:8" ht="15.75" customHeight="1">
      <c r="D346" s="43"/>
      <c r="E346" s="43"/>
      <c r="H346" s="61"/>
    </row>
    <row r="347" spans="4:8" ht="15.75" customHeight="1">
      <c r="D347" s="43"/>
      <c r="E347" s="43"/>
      <c r="H347" s="61"/>
    </row>
    <row r="348" spans="4:8" ht="15.75" customHeight="1">
      <c r="D348" s="43"/>
      <c r="E348" s="43"/>
      <c r="H348" s="61"/>
    </row>
    <row r="349" spans="4:8" ht="15.75" customHeight="1">
      <c r="D349" s="43"/>
      <c r="E349" s="43"/>
      <c r="H349" s="61"/>
    </row>
    <row r="350" spans="4:8" ht="15.75" customHeight="1">
      <c r="D350" s="43"/>
      <c r="E350" s="43"/>
      <c r="H350" s="61"/>
    </row>
    <row r="351" spans="4:8" ht="15.75" customHeight="1">
      <c r="D351" s="43"/>
      <c r="E351" s="43"/>
      <c r="H351" s="61"/>
    </row>
    <row r="352" spans="4:8" ht="15.75" customHeight="1">
      <c r="D352" s="43"/>
      <c r="E352" s="43"/>
      <c r="H352" s="61"/>
    </row>
    <row r="353" spans="4:8" ht="15.75" customHeight="1">
      <c r="D353" s="43"/>
      <c r="E353" s="43"/>
      <c r="H353" s="61"/>
    </row>
    <row r="354" spans="4:8" ht="15.75" customHeight="1">
      <c r="D354" s="43"/>
      <c r="E354" s="43"/>
      <c r="H354" s="61"/>
    </row>
    <row r="355" spans="4:8" ht="15.75" customHeight="1">
      <c r="D355" s="43"/>
      <c r="E355" s="43"/>
      <c r="H355" s="61"/>
    </row>
    <row r="356" spans="4:8" ht="15.75" customHeight="1">
      <c r="D356" s="43"/>
      <c r="E356" s="43"/>
      <c r="H356" s="61"/>
    </row>
    <row r="357" spans="4:8" ht="15.75" customHeight="1">
      <c r="D357" s="43"/>
      <c r="E357" s="43"/>
      <c r="H357" s="61"/>
    </row>
    <row r="358" spans="4:8" ht="15.75" customHeight="1">
      <c r="D358" s="43"/>
      <c r="E358" s="43"/>
      <c r="H358" s="61"/>
    </row>
    <row r="359" spans="4:8" ht="15.75" customHeight="1">
      <c r="D359" s="43"/>
      <c r="E359" s="43"/>
      <c r="H359" s="61"/>
    </row>
    <row r="360" spans="4:8" ht="15.75" customHeight="1">
      <c r="D360" s="43"/>
      <c r="E360" s="43"/>
      <c r="H360" s="61"/>
    </row>
    <row r="361" spans="4:8" ht="15.75" customHeight="1">
      <c r="D361" s="43"/>
      <c r="E361" s="43"/>
      <c r="H361" s="61"/>
    </row>
    <row r="362" spans="4:8" ht="15.75" customHeight="1">
      <c r="D362" s="43"/>
      <c r="E362" s="43"/>
      <c r="H362" s="61"/>
    </row>
    <row r="363" spans="4:8" ht="15.75" customHeight="1">
      <c r="D363" s="43"/>
      <c r="E363" s="43"/>
      <c r="H363" s="61"/>
    </row>
    <row r="364" spans="4:8" ht="15.75" customHeight="1">
      <c r="D364" s="43"/>
      <c r="E364" s="43"/>
      <c r="H364" s="61"/>
    </row>
    <row r="365" spans="4:8" ht="15.75" customHeight="1">
      <c r="D365" s="43"/>
      <c r="E365" s="43"/>
      <c r="H365" s="61"/>
    </row>
    <row r="366" spans="4:8" ht="15.75" customHeight="1">
      <c r="D366" s="43"/>
      <c r="E366" s="43"/>
      <c r="H366" s="61"/>
    </row>
    <row r="367" spans="4:8" ht="15.75" customHeight="1">
      <c r="D367" s="43"/>
      <c r="E367" s="43"/>
      <c r="H367" s="61"/>
    </row>
    <row r="368" spans="4:8" ht="15.75" customHeight="1">
      <c r="D368" s="43"/>
      <c r="E368" s="43"/>
      <c r="H368" s="61"/>
    </row>
    <row r="369" spans="4:8" ht="15.75" customHeight="1">
      <c r="D369" s="43"/>
      <c r="E369" s="43"/>
      <c r="H369" s="61"/>
    </row>
    <row r="370" spans="4:8" ht="15.75" customHeight="1">
      <c r="D370" s="43"/>
      <c r="E370" s="43"/>
      <c r="H370" s="61"/>
    </row>
    <row r="371" spans="4:8" ht="15.75" customHeight="1">
      <c r="D371" s="43"/>
      <c r="E371" s="43"/>
      <c r="H371" s="61"/>
    </row>
    <row r="372" spans="4:8" ht="15.75" customHeight="1">
      <c r="D372" s="43"/>
      <c r="E372" s="43"/>
      <c r="H372" s="61"/>
    </row>
    <row r="373" spans="4:8" ht="15.75" customHeight="1">
      <c r="D373" s="43"/>
      <c r="E373" s="43"/>
      <c r="H373" s="61"/>
    </row>
    <row r="374" spans="4:8" ht="15.75" customHeight="1">
      <c r="D374" s="43"/>
      <c r="E374" s="43"/>
      <c r="H374" s="61"/>
    </row>
    <row r="375" spans="4:8" ht="15.75" customHeight="1">
      <c r="D375" s="43"/>
      <c r="E375" s="43"/>
      <c r="H375" s="61"/>
    </row>
    <row r="376" spans="4:8" ht="15.75" customHeight="1">
      <c r="D376" s="43"/>
      <c r="E376" s="43"/>
      <c r="H376" s="61"/>
    </row>
    <row r="377" spans="4:8" ht="15.75" customHeight="1">
      <c r="D377" s="43"/>
      <c r="E377" s="43"/>
      <c r="H377" s="61"/>
    </row>
    <row r="378" spans="4:8" ht="15.75" customHeight="1">
      <c r="D378" s="43"/>
      <c r="E378" s="43"/>
      <c r="H378" s="61"/>
    </row>
    <row r="379" spans="4:8" ht="15.75" customHeight="1">
      <c r="D379" s="43"/>
      <c r="E379" s="43"/>
      <c r="H379" s="61"/>
    </row>
    <row r="380" spans="4:8" ht="15.75" customHeight="1">
      <c r="D380" s="43"/>
      <c r="E380" s="43"/>
      <c r="H380" s="61"/>
    </row>
    <row r="381" spans="4:8" ht="15.75" customHeight="1">
      <c r="D381" s="43"/>
      <c r="E381" s="43"/>
      <c r="H381" s="61"/>
    </row>
    <row r="382" spans="4:8" ht="15.75" customHeight="1">
      <c r="D382" s="43"/>
      <c r="E382" s="43"/>
      <c r="H382" s="61"/>
    </row>
    <row r="383" spans="4:8" ht="15.75" customHeight="1">
      <c r="D383" s="43"/>
      <c r="E383" s="43"/>
      <c r="H383" s="61"/>
    </row>
    <row r="384" spans="4:8" ht="15.75" customHeight="1">
      <c r="D384" s="43"/>
      <c r="E384" s="43"/>
      <c r="H384" s="61"/>
    </row>
    <row r="385" spans="4:8" ht="15.75" customHeight="1">
      <c r="D385" s="43"/>
      <c r="E385" s="43"/>
      <c r="H385" s="61"/>
    </row>
    <row r="386" spans="4:8" ht="15.75" customHeight="1">
      <c r="D386" s="43"/>
      <c r="E386" s="43"/>
      <c r="H386" s="61"/>
    </row>
    <row r="387" spans="4:8" ht="15.75" customHeight="1">
      <c r="D387" s="43"/>
      <c r="E387" s="43"/>
      <c r="H387" s="61"/>
    </row>
    <row r="388" spans="4:8" ht="15.75" customHeight="1">
      <c r="D388" s="43"/>
      <c r="E388" s="43"/>
      <c r="H388" s="61"/>
    </row>
    <row r="389" spans="4:8" ht="15.75" customHeight="1">
      <c r="D389" s="43"/>
      <c r="E389" s="43"/>
      <c r="H389" s="61"/>
    </row>
    <row r="390" spans="4:8" ht="15.75" customHeight="1">
      <c r="D390" s="43"/>
      <c r="E390" s="43"/>
      <c r="H390" s="61"/>
    </row>
    <row r="391" spans="4:8" ht="15.75" customHeight="1">
      <c r="D391" s="43"/>
      <c r="E391" s="43"/>
      <c r="H391" s="61"/>
    </row>
    <row r="392" spans="4:8" ht="15.75" customHeight="1">
      <c r="D392" s="43"/>
      <c r="E392" s="43"/>
      <c r="H392" s="61"/>
    </row>
    <row r="393" spans="4:8" ht="15.75" customHeight="1">
      <c r="D393" s="43"/>
      <c r="E393" s="43"/>
      <c r="H393" s="61"/>
    </row>
    <row r="394" spans="4:8" ht="15.75" customHeight="1">
      <c r="D394" s="43"/>
      <c r="E394" s="43"/>
      <c r="H394" s="61"/>
    </row>
    <row r="395" spans="4:8" ht="15.75" customHeight="1">
      <c r="D395" s="43"/>
      <c r="E395" s="43"/>
      <c r="H395" s="61"/>
    </row>
    <row r="396" spans="4:8" ht="15.75" customHeight="1">
      <c r="D396" s="43"/>
      <c r="E396" s="43"/>
      <c r="H396" s="61"/>
    </row>
    <row r="397" spans="4:8" ht="15.75" customHeight="1">
      <c r="D397" s="43"/>
      <c r="E397" s="43"/>
      <c r="H397" s="61"/>
    </row>
    <row r="398" spans="4:8" ht="15.75" customHeight="1">
      <c r="D398" s="43"/>
      <c r="E398" s="43"/>
      <c r="H398" s="61"/>
    </row>
    <row r="399" spans="4:8" ht="15.75" customHeight="1">
      <c r="D399" s="43"/>
      <c r="E399" s="43"/>
      <c r="H399" s="61"/>
    </row>
    <row r="400" spans="4:8" ht="15.75" customHeight="1">
      <c r="D400" s="43"/>
      <c r="E400" s="43"/>
      <c r="H400" s="61"/>
    </row>
    <row r="401" spans="4:8" ht="15.75" customHeight="1">
      <c r="D401" s="43"/>
      <c r="E401" s="43"/>
      <c r="H401" s="61"/>
    </row>
    <row r="402" spans="4:8" ht="15.75" customHeight="1">
      <c r="D402" s="43"/>
      <c r="E402" s="43"/>
      <c r="H402" s="61"/>
    </row>
    <row r="403" spans="4:8" ht="15.75" customHeight="1">
      <c r="D403" s="43"/>
      <c r="E403" s="43"/>
      <c r="H403" s="61"/>
    </row>
    <row r="404" spans="4:8" ht="15.75" customHeight="1">
      <c r="D404" s="43"/>
      <c r="E404" s="43"/>
      <c r="H404" s="61"/>
    </row>
    <row r="405" spans="4:8" ht="15.75" customHeight="1">
      <c r="D405" s="43"/>
      <c r="E405" s="43"/>
      <c r="H405" s="61"/>
    </row>
    <row r="406" spans="4:8" ht="15.75" customHeight="1">
      <c r="D406" s="43"/>
      <c r="E406" s="43"/>
      <c r="H406" s="61"/>
    </row>
    <row r="407" spans="4:8" ht="15.75" customHeight="1">
      <c r="D407" s="43"/>
      <c r="E407" s="43"/>
      <c r="H407" s="61"/>
    </row>
    <row r="408" spans="4:8" ht="15.75" customHeight="1">
      <c r="D408" s="43"/>
      <c r="E408" s="43"/>
      <c r="H408" s="61"/>
    </row>
    <row r="409" spans="4:8" ht="15.75" customHeight="1">
      <c r="D409" s="43"/>
      <c r="E409" s="43"/>
      <c r="H409" s="61"/>
    </row>
    <row r="410" spans="4:8" ht="15.75" customHeight="1">
      <c r="D410" s="43"/>
      <c r="E410" s="43"/>
      <c r="H410" s="61"/>
    </row>
    <row r="411" spans="4:8" ht="15.75" customHeight="1">
      <c r="D411" s="43"/>
      <c r="E411" s="43"/>
      <c r="H411" s="61"/>
    </row>
    <row r="412" spans="4:8" ht="15.75" customHeight="1">
      <c r="D412" s="43"/>
      <c r="E412" s="43"/>
      <c r="H412" s="61"/>
    </row>
    <row r="413" spans="4:8" ht="15.75" customHeight="1">
      <c r="D413" s="43"/>
      <c r="E413" s="43"/>
      <c r="H413" s="61"/>
    </row>
    <row r="414" spans="4:8" ht="15.75" customHeight="1">
      <c r="D414" s="43"/>
      <c r="E414" s="43"/>
      <c r="H414" s="61"/>
    </row>
    <row r="415" spans="4:8" ht="15.75" customHeight="1">
      <c r="D415" s="43"/>
      <c r="E415" s="43"/>
      <c r="H415" s="61"/>
    </row>
    <row r="416" spans="4:8" ht="15.75" customHeight="1">
      <c r="D416" s="43"/>
      <c r="E416" s="43"/>
      <c r="H416" s="61"/>
    </row>
    <row r="417" spans="4:8" ht="15.75" customHeight="1">
      <c r="D417" s="43"/>
      <c r="E417" s="43"/>
      <c r="H417" s="61"/>
    </row>
    <row r="418" spans="4:8" ht="15.75" customHeight="1">
      <c r="D418" s="43"/>
      <c r="E418" s="43"/>
      <c r="H418" s="61"/>
    </row>
    <row r="419" spans="4:8" ht="15.75" customHeight="1">
      <c r="D419" s="43"/>
      <c r="E419" s="43"/>
      <c r="H419" s="61"/>
    </row>
    <row r="420" spans="4:8" ht="15.75" customHeight="1">
      <c r="D420" s="43"/>
      <c r="E420" s="43"/>
      <c r="H420" s="61"/>
    </row>
    <row r="421" spans="4:8" ht="15.75" customHeight="1">
      <c r="D421" s="43"/>
      <c r="E421" s="43"/>
      <c r="H421" s="61"/>
    </row>
    <row r="422" spans="4:8" ht="15.75" customHeight="1">
      <c r="D422" s="43"/>
      <c r="E422" s="43"/>
      <c r="H422" s="61"/>
    </row>
    <row r="423" spans="4:8" ht="15.75" customHeight="1">
      <c r="D423" s="43"/>
      <c r="E423" s="43"/>
      <c r="H423" s="61"/>
    </row>
    <row r="424" spans="4:8" ht="15.75" customHeight="1">
      <c r="D424" s="43"/>
      <c r="E424" s="43"/>
      <c r="H424" s="61"/>
    </row>
    <row r="425" spans="4:8" ht="15.75" customHeight="1">
      <c r="D425" s="43"/>
      <c r="E425" s="43"/>
      <c r="H425" s="61"/>
    </row>
    <row r="426" spans="4:8" ht="15.75" customHeight="1">
      <c r="D426" s="43"/>
      <c r="E426" s="43"/>
      <c r="H426" s="61"/>
    </row>
    <row r="427" spans="4:8" ht="15.75" customHeight="1">
      <c r="D427" s="43"/>
      <c r="E427" s="43"/>
      <c r="H427" s="61"/>
    </row>
    <row r="428" spans="4:8" ht="15.75" customHeight="1">
      <c r="D428" s="43"/>
      <c r="E428" s="43"/>
      <c r="H428" s="61"/>
    </row>
    <row r="429" spans="4:8" ht="15.75" customHeight="1">
      <c r="D429" s="43"/>
      <c r="E429" s="43"/>
      <c r="H429" s="61"/>
    </row>
    <row r="430" spans="4:8" ht="15.75" customHeight="1">
      <c r="D430" s="43"/>
      <c r="E430" s="43"/>
      <c r="H430" s="61"/>
    </row>
    <row r="431" spans="4:8" ht="15.75" customHeight="1">
      <c r="D431" s="43"/>
      <c r="E431" s="43"/>
      <c r="H431" s="61"/>
    </row>
    <row r="432" spans="4:8" ht="15.75" customHeight="1">
      <c r="D432" s="43"/>
      <c r="E432" s="43"/>
      <c r="H432" s="61"/>
    </row>
    <row r="433" spans="4:8" ht="15.75" customHeight="1">
      <c r="D433" s="43"/>
      <c r="E433" s="43"/>
      <c r="H433" s="61"/>
    </row>
    <row r="434" spans="4:8" ht="15.75" customHeight="1">
      <c r="D434" s="43"/>
      <c r="E434" s="43"/>
      <c r="H434" s="61"/>
    </row>
    <row r="435" spans="4:8" ht="15.75" customHeight="1">
      <c r="D435" s="43"/>
      <c r="E435" s="43"/>
      <c r="H435" s="61"/>
    </row>
    <row r="436" spans="4:8" ht="15.75" customHeight="1">
      <c r="D436" s="43"/>
      <c r="E436" s="43"/>
      <c r="H436" s="61"/>
    </row>
    <row r="437" spans="4:8" ht="15.75" customHeight="1">
      <c r="D437" s="43"/>
      <c r="E437" s="43"/>
      <c r="H437" s="61"/>
    </row>
    <row r="438" spans="4:8" ht="15.75" customHeight="1">
      <c r="D438" s="43"/>
      <c r="E438" s="43"/>
      <c r="H438" s="61"/>
    </row>
    <row r="439" spans="4:8" ht="15.75" customHeight="1">
      <c r="D439" s="43"/>
      <c r="E439" s="43"/>
      <c r="H439" s="61"/>
    </row>
    <row r="440" spans="4:8" ht="15.75" customHeight="1">
      <c r="D440" s="43"/>
      <c r="E440" s="43"/>
      <c r="H440" s="61"/>
    </row>
    <row r="441" spans="4:8" ht="15.75" customHeight="1">
      <c r="D441" s="43"/>
      <c r="E441" s="43"/>
      <c r="H441" s="61"/>
    </row>
    <row r="442" spans="4:8" ht="15.75" customHeight="1">
      <c r="D442" s="43"/>
      <c r="E442" s="43"/>
      <c r="H442" s="61"/>
    </row>
    <row r="443" spans="4:8" ht="15.75" customHeight="1">
      <c r="D443" s="43"/>
      <c r="E443" s="43"/>
      <c r="H443" s="61"/>
    </row>
    <row r="444" spans="4:8" ht="15.75" customHeight="1">
      <c r="D444" s="43"/>
      <c r="E444" s="43"/>
      <c r="H444" s="61"/>
    </row>
    <row r="445" spans="4:8" ht="15.75" customHeight="1">
      <c r="D445" s="43"/>
      <c r="E445" s="43"/>
      <c r="H445" s="61"/>
    </row>
    <row r="446" spans="4:8" ht="15.75" customHeight="1">
      <c r="D446" s="43"/>
      <c r="E446" s="43"/>
      <c r="H446" s="61"/>
    </row>
    <row r="447" spans="4:8" ht="15.75" customHeight="1">
      <c r="D447" s="43"/>
      <c r="E447" s="43"/>
      <c r="H447" s="61"/>
    </row>
    <row r="448" spans="4:8" ht="15.75" customHeight="1">
      <c r="D448" s="43"/>
      <c r="E448" s="43"/>
      <c r="H448" s="61"/>
    </row>
    <row r="449" spans="4:8" ht="15.75" customHeight="1">
      <c r="D449" s="43"/>
      <c r="E449" s="43"/>
      <c r="H449" s="61"/>
    </row>
    <row r="450" spans="4:8" ht="15.75" customHeight="1">
      <c r="D450" s="43"/>
      <c r="E450" s="43"/>
      <c r="H450" s="61"/>
    </row>
    <row r="451" spans="4:8" ht="15.75" customHeight="1">
      <c r="D451" s="43"/>
      <c r="E451" s="43"/>
      <c r="H451" s="61"/>
    </row>
    <row r="452" spans="4:8" ht="15.75" customHeight="1">
      <c r="D452" s="43"/>
      <c r="E452" s="43"/>
      <c r="H452" s="61"/>
    </row>
    <row r="453" spans="4:8" ht="15.75" customHeight="1">
      <c r="D453" s="43"/>
      <c r="E453" s="43"/>
      <c r="H453" s="61"/>
    </row>
    <row r="454" spans="4:8" ht="15.75" customHeight="1">
      <c r="D454" s="43"/>
      <c r="E454" s="43"/>
      <c r="H454" s="61"/>
    </row>
    <row r="455" spans="4:8" ht="15.75" customHeight="1">
      <c r="D455" s="43"/>
      <c r="E455" s="43"/>
      <c r="H455" s="61"/>
    </row>
    <row r="456" spans="4:8" ht="15.75" customHeight="1">
      <c r="D456" s="43"/>
      <c r="E456" s="43"/>
      <c r="H456" s="61"/>
    </row>
    <row r="457" spans="4:8" ht="15.75" customHeight="1">
      <c r="D457" s="43"/>
      <c r="E457" s="43"/>
      <c r="H457" s="61"/>
    </row>
    <row r="458" spans="4:8" ht="15.75" customHeight="1">
      <c r="D458" s="43"/>
      <c r="E458" s="43"/>
      <c r="H458" s="61"/>
    </row>
    <row r="459" spans="4:8" ht="15.75" customHeight="1">
      <c r="D459" s="43"/>
      <c r="E459" s="43"/>
      <c r="H459" s="61"/>
    </row>
    <row r="460" spans="4:8" ht="15.75" customHeight="1">
      <c r="D460" s="43"/>
      <c r="E460" s="43"/>
      <c r="H460" s="61"/>
    </row>
    <row r="461" spans="4:8" ht="15.75" customHeight="1">
      <c r="D461" s="43"/>
      <c r="E461" s="43"/>
      <c r="H461" s="61"/>
    </row>
    <row r="462" spans="4:8" ht="15.75" customHeight="1">
      <c r="D462" s="43"/>
      <c r="E462" s="43"/>
      <c r="H462" s="61"/>
    </row>
    <row r="463" spans="4:8" ht="15.75" customHeight="1">
      <c r="D463" s="43"/>
      <c r="E463" s="43"/>
      <c r="H463" s="61"/>
    </row>
    <row r="464" spans="4:8" ht="15.75" customHeight="1">
      <c r="D464" s="43"/>
      <c r="E464" s="43"/>
      <c r="H464" s="61"/>
    </row>
    <row r="465" spans="4:8" ht="15.75" customHeight="1">
      <c r="D465" s="43"/>
      <c r="E465" s="43"/>
      <c r="H465" s="61"/>
    </row>
    <row r="466" spans="4:8" ht="15.75" customHeight="1">
      <c r="D466" s="43"/>
      <c r="E466" s="43"/>
      <c r="H466" s="61"/>
    </row>
    <row r="467" spans="4:8" ht="15.75" customHeight="1">
      <c r="D467" s="43"/>
      <c r="E467" s="43"/>
      <c r="H467" s="61"/>
    </row>
    <row r="468" spans="4:8" ht="15.75" customHeight="1">
      <c r="D468" s="43"/>
      <c r="E468" s="43"/>
      <c r="H468" s="61"/>
    </row>
    <row r="469" spans="4:8" ht="15.75" customHeight="1">
      <c r="D469" s="43"/>
      <c r="E469" s="43"/>
      <c r="H469" s="61"/>
    </row>
    <row r="470" spans="4:8" ht="15.75" customHeight="1">
      <c r="D470" s="43"/>
      <c r="E470" s="43"/>
      <c r="H470" s="61"/>
    </row>
    <row r="471" spans="4:8" ht="15.75" customHeight="1">
      <c r="D471" s="43"/>
      <c r="E471" s="43"/>
      <c r="H471" s="61"/>
    </row>
    <row r="472" spans="4:8" ht="15.75" customHeight="1">
      <c r="D472" s="43"/>
      <c r="E472" s="43"/>
      <c r="H472" s="61"/>
    </row>
    <row r="473" spans="4:8" ht="15.75" customHeight="1">
      <c r="D473" s="43"/>
      <c r="E473" s="43"/>
      <c r="H473" s="61"/>
    </row>
    <row r="474" spans="4:8" ht="15.75" customHeight="1">
      <c r="D474" s="43"/>
      <c r="E474" s="43"/>
      <c r="H474" s="61"/>
    </row>
    <row r="475" spans="4:8" ht="15.75" customHeight="1">
      <c r="D475" s="43"/>
      <c r="E475" s="43"/>
      <c r="H475" s="61"/>
    </row>
    <row r="476" spans="4:8" ht="15.75" customHeight="1">
      <c r="D476" s="43"/>
      <c r="E476" s="43"/>
      <c r="H476" s="61"/>
    </row>
    <row r="477" spans="4:8" ht="15.75" customHeight="1">
      <c r="D477" s="43"/>
      <c r="E477" s="43"/>
      <c r="H477" s="61"/>
    </row>
    <row r="478" spans="4:8" ht="15.75" customHeight="1">
      <c r="D478" s="43"/>
      <c r="E478" s="43"/>
      <c r="H478" s="61"/>
    </row>
    <row r="479" spans="4:8" ht="15.75" customHeight="1">
      <c r="D479" s="43"/>
      <c r="E479" s="43"/>
      <c r="H479" s="61"/>
    </row>
    <row r="480" spans="4:8" ht="15.75" customHeight="1">
      <c r="D480" s="43"/>
      <c r="E480" s="43"/>
      <c r="H480" s="61"/>
    </row>
    <row r="481" spans="4:8" ht="15.75" customHeight="1">
      <c r="D481" s="43"/>
      <c r="E481" s="43"/>
      <c r="H481" s="61"/>
    </row>
    <row r="482" spans="4:8" ht="15.75" customHeight="1">
      <c r="D482" s="43"/>
      <c r="E482" s="43"/>
      <c r="H482" s="61"/>
    </row>
    <row r="483" spans="4:8" ht="15.75" customHeight="1">
      <c r="D483" s="43"/>
      <c r="E483" s="43"/>
      <c r="H483" s="61"/>
    </row>
    <row r="484" spans="4:8" ht="15.75" customHeight="1">
      <c r="D484" s="43"/>
      <c r="E484" s="43"/>
      <c r="H484" s="61"/>
    </row>
    <row r="485" spans="4:8" ht="15.75" customHeight="1">
      <c r="D485" s="43"/>
      <c r="E485" s="43"/>
      <c r="H485" s="61"/>
    </row>
    <row r="486" spans="4:8" ht="15.75" customHeight="1">
      <c r="D486" s="43"/>
      <c r="E486" s="43"/>
      <c r="H486" s="61"/>
    </row>
    <row r="487" spans="4:8" ht="15.75" customHeight="1">
      <c r="D487" s="43"/>
      <c r="E487" s="43"/>
      <c r="H487" s="61"/>
    </row>
    <row r="488" spans="4:8" ht="15.75" customHeight="1">
      <c r="D488" s="43"/>
      <c r="E488" s="43"/>
      <c r="H488" s="61"/>
    </row>
    <row r="489" spans="4:8" ht="15.75" customHeight="1">
      <c r="D489" s="43"/>
      <c r="E489" s="43"/>
      <c r="H489" s="61"/>
    </row>
    <row r="490" spans="4:8" ht="15.75" customHeight="1">
      <c r="D490" s="43"/>
      <c r="E490" s="43"/>
      <c r="H490" s="61"/>
    </row>
    <row r="491" spans="4:8" ht="15.75" customHeight="1">
      <c r="D491" s="43"/>
      <c r="E491" s="43"/>
      <c r="H491" s="61"/>
    </row>
    <row r="492" spans="4:8" ht="15.75" customHeight="1">
      <c r="D492" s="43"/>
      <c r="E492" s="43"/>
      <c r="H492" s="61"/>
    </row>
    <row r="493" spans="4:8" ht="15.75" customHeight="1">
      <c r="D493" s="43"/>
      <c r="E493" s="43"/>
      <c r="H493" s="61"/>
    </row>
    <row r="494" spans="4:8" ht="15.75" customHeight="1">
      <c r="D494" s="43"/>
      <c r="E494" s="43"/>
      <c r="H494" s="61"/>
    </row>
    <row r="495" spans="4:8" ht="15.75" customHeight="1">
      <c r="D495" s="43"/>
      <c r="E495" s="43"/>
      <c r="H495" s="61"/>
    </row>
    <row r="496" spans="4:8" ht="15.75" customHeight="1">
      <c r="D496" s="43"/>
      <c r="E496" s="43"/>
      <c r="H496" s="61"/>
    </row>
    <row r="497" spans="4:8" ht="15.75" customHeight="1">
      <c r="D497" s="43"/>
      <c r="E497" s="43"/>
      <c r="H497" s="61"/>
    </row>
    <row r="498" spans="4:8" ht="15.75" customHeight="1">
      <c r="D498" s="43"/>
      <c r="E498" s="43"/>
      <c r="H498" s="61"/>
    </row>
    <row r="499" spans="4:8" ht="15.75" customHeight="1">
      <c r="D499" s="43"/>
      <c r="E499" s="43"/>
      <c r="H499" s="61"/>
    </row>
    <row r="500" spans="4:8" ht="15.75" customHeight="1">
      <c r="D500" s="43"/>
      <c r="E500" s="43"/>
      <c r="H500" s="61"/>
    </row>
    <row r="501" spans="4:8" ht="15.75" customHeight="1">
      <c r="D501" s="43"/>
      <c r="E501" s="43"/>
      <c r="H501" s="61"/>
    </row>
    <row r="502" spans="4:8" ht="15.75" customHeight="1">
      <c r="D502" s="43"/>
      <c r="E502" s="43"/>
      <c r="H502" s="61"/>
    </row>
    <row r="503" spans="4:8" ht="15.75" customHeight="1">
      <c r="D503" s="43"/>
      <c r="E503" s="43"/>
      <c r="H503" s="61"/>
    </row>
    <row r="504" spans="4:8" ht="15.75" customHeight="1">
      <c r="D504" s="43"/>
      <c r="E504" s="43"/>
      <c r="H504" s="61"/>
    </row>
    <row r="505" spans="4:8" ht="15.75" customHeight="1">
      <c r="D505" s="43"/>
      <c r="E505" s="43"/>
      <c r="H505" s="61"/>
    </row>
    <row r="506" spans="4:8" ht="15.75" customHeight="1">
      <c r="D506" s="43"/>
      <c r="E506" s="43"/>
      <c r="H506" s="61"/>
    </row>
    <row r="507" spans="4:8" ht="15.75" customHeight="1">
      <c r="D507" s="43"/>
      <c r="E507" s="43"/>
      <c r="H507" s="61"/>
    </row>
    <row r="508" spans="4:8" ht="15.75" customHeight="1">
      <c r="D508" s="43"/>
      <c r="E508" s="43"/>
      <c r="H508" s="61"/>
    </row>
    <row r="509" spans="4:8" ht="15.75" customHeight="1">
      <c r="D509" s="43"/>
      <c r="E509" s="43"/>
      <c r="H509" s="61"/>
    </row>
    <row r="510" spans="4:8" ht="15.75" customHeight="1">
      <c r="D510" s="43"/>
      <c r="E510" s="43"/>
      <c r="H510" s="61"/>
    </row>
    <row r="511" spans="4:8" ht="15.75" customHeight="1">
      <c r="D511" s="43"/>
      <c r="E511" s="43"/>
      <c r="H511" s="61"/>
    </row>
    <row r="512" spans="4:8" ht="15.75" customHeight="1">
      <c r="D512" s="43"/>
      <c r="E512" s="43"/>
      <c r="H512" s="61"/>
    </row>
    <row r="513" spans="4:8" ht="15.75" customHeight="1">
      <c r="D513" s="43"/>
      <c r="E513" s="43"/>
      <c r="H513" s="61"/>
    </row>
    <row r="514" spans="4:8" ht="15.75" customHeight="1">
      <c r="D514" s="43"/>
      <c r="E514" s="43"/>
      <c r="H514" s="61"/>
    </row>
    <row r="515" spans="4:8" ht="15.75" customHeight="1">
      <c r="D515" s="43"/>
      <c r="E515" s="43"/>
      <c r="H515" s="61"/>
    </row>
    <row r="516" spans="4:8" ht="15.75" customHeight="1">
      <c r="D516" s="43"/>
      <c r="E516" s="43"/>
      <c r="H516" s="61"/>
    </row>
    <row r="517" spans="4:8" ht="15.75" customHeight="1">
      <c r="D517" s="43"/>
      <c r="E517" s="43"/>
      <c r="H517" s="61"/>
    </row>
    <row r="518" spans="4:8" ht="15.75" customHeight="1">
      <c r="D518" s="43"/>
      <c r="E518" s="43"/>
      <c r="H518" s="61"/>
    </row>
    <row r="519" spans="4:8" ht="15.75" customHeight="1">
      <c r="D519" s="43"/>
      <c r="E519" s="43"/>
      <c r="H519" s="61"/>
    </row>
    <row r="520" spans="4:8" ht="15.75" customHeight="1">
      <c r="D520" s="43"/>
      <c r="E520" s="43"/>
      <c r="H520" s="61"/>
    </row>
    <row r="521" spans="4:8" ht="15.75" customHeight="1">
      <c r="D521" s="43"/>
      <c r="E521" s="43"/>
      <c r="H521" s="61"/>
    </row>
    <row r="522" spans="4:8" ht="15.75" customHeight="1">
      <c r="D522" s="43"/>
      <c r="E522" s="43"/>
      <c r="H522" s="61"/>
    </row>
    <row r="523" spans="4:8" ht="15.75" customHeight="1">
      <c r="D523" s="43"/>
      <c r="E523" s="43"/>
      <c r="H523" s="61"/>
    </row>
    <row r="524" spans="4:8" ht="15.75" customHeight="1">
      <c r="D524" s="43"/>
      <c r="E524" s="43"/>
      <c r="H524" s="61"/>
    </row>
    <row r="525" spans="4:8" ht="15.75" customHeight="1">
      <c r="D525" s="43"/>
      <c r="E525" s="43"/>
      <c r="H525" s="61"/>
    </row>
    <row r="526" spans="4:8" ht="15.75" customHeight="1">
      <c r="D526" s="43"/>
      <c r="E526" s="43"/>
      <c r="H526" s="61"/>
    </row>
    <row r="527" spans="4:8" ht="15.75" customHeight="1">
      <c r="D527" s="43"/>
      <c r="E527" s="43"/>
      <c r="H527" s="61"/>
    </row>
    <row r="528" spans="4:8" ht="15.75" customHeight="1">
      <c r="D528" s="43"/>
      <c r="E528" s="43"/>
      <c r="H528" s="61"/>
    </row>
    <row r="529" spans="4:8" ht="15.75" customHeight="1">
      <c r="D529" s="43"/>
      <c r="E529" s="43"/>
      <c r="H529" s="61"/>
    </row>
    <row r="530" spans="4:8" ht="15.75" customHeight="1">
      <c r="D530" s="43"/>
      <c r="E530" s="43"/>
      <c r="H530" s="61"/>
    </row>
    <row r="531" spans="4:8" ht="15.75" customHeight="1">
      <c r="D531" s="43"/>
      <c r="E531" s="43"/>
      <c r="H531" s="61"/>
    </row>
    <row r="532" spans="4:8" ht="15.75" customHeight="1">
      <c r="D532" s="43"/>
      <c r="E532" s="43"/>
      <c r="H532" s="61"/>
    </row>
    <row r="533" spans="4:8" ht="15.75" customHeight="1">
      <c r="D533" s="43"/>
      <c r="E533" s="43"/>
      <c r="H533" s="61"/>
    </row>
    <row r="534" spans="4:8" ht="15.75" customHeight="1">
      <c r="D534" s="43"/>
      <c r="E534" s="43"/>
      <c r="H534" s="61"/>
    </row>
    <row r="535" spans="4:8" ht="15.75" customHeight="1">
      <c r="D535" s="43"/>
      <c r="E535" s="43"/>
      <c r="H535" s="61"/>
    </row>
    <row r="536" spans="4:8" ht="15.75" customHeight="1">
      <c r="D536" s="43"/>
      <c r="E536" s="43"/>
      <c r="H536" s="61"/>
    </row>
    <row r="537" spans="4:8" ht="15.75" customHeight="1">
      <c r="D537" s="43"/>
      <c r="E537" s="43"/>
      <c r="H537" s="61"/>
    </row>
    <row r="538" spans="4:8" ht="15.75" customHeight="1">
      <c r="D538" s="43"/>
      <c r="E538" s="43"/>
      <c r="H538" s="61"/>
    </row>
    <row r="539" spans="4:8" ht="15.75" customHeight="1">
      <c r="D539" s="43"/>
      <c r="E539" s="43"/>
      <c r="H539" s="61"/>
    </row>
    <row r="540" spans="4:8" ht="15.75" customHeight="1">
      <c r="D540" s="43"/>
      <c r="E540" s="43"/>
      <c r="H540" s="61"/>
    </row>
    <row r="541" spans="4:8" ht="15.75" customHeight="1">
      <c r="D541" s="43"/>
      <c r="E541" s="43"/>
      <c r="H541" s="61"/>
    </row>
    <row r="542" spans="4:8" ht="15.75" customHeight="1">
      <c r="D542" s="43"/>
      <c r="E542" s="43"/>
      <c r="H542" s="61"/>
    </row>
    <row r="543" spans="4:8" ht="15.75" customHeight="1">
      <c r="D543" s="43"/>
      <c r="E543" s="43"/>
      <c r="H543" s="61"/>
    </row>
    <row r="544" spans="4:8" ht="15.75" customHeight="1">
      <c r="D544" s="43"/>
      <c r="E544" s="43"/>
      <c r="H544" s="61"/>
    </row>
    <row r="545" spans="4:8" ht="15.75" customHeight="1">
      <c r="D545" s="43"/>
      <c r="E545" s="43"/>
      <c r="H545" s="61"/>
    </row>
    <row r="546" spans="4:8" ht="15.75" customHeight="1">
      <c r="D546" s="43"/>
      <c r="E546" s="43"/>
      <c r="H546" s="61"/>
    </row>
    <row r="547" spans="4:8" ht="15.75" customHeight="1">
      <c r="D547" s="43"/>
      <c r="E547" s="43"/>
      <c r="H547" s="61"/>
    </row>
    <row r="548" spans="4:8" ht="15.75" customHeight="1">
      <c r="D548" s="43"/>
      <c r="E548" s="43"/>
      <c r="H548" s="61"/>
    </row>
    <row r="549" spans="4:8" ht="15.75" customHeight="1">
      <c r="D549" s="43"/>
      <c r="E549" s="43"/>
      <c r="H549" s="61"/>
    </row>
    <row r="550" spans="4:8" ht="15.75" customHeight="1">
      <c r="D550" s="43"/>
      <c r="E550" s="43"/>
      <c r="H550" s="61"/>
    </row>
    <row r="551" spans="4:8" ht="15.75" customHeight="1">
      <c r="D551" s="43"/>
      <c r="E551" s="43"/>
      <c r="H551" s="61"/>
    </row>
    <row r="552" spans="4:8" ht="15.75" customHeight="1">
      <c r="D552" s="43"/>
      <c r="E552" s="43"/>
      <c r="H552" s="61"/>
    </row>
    <row r="553" spans="4:8" ht="15.75" customHeight="1">
      <c r="D553" s="43"/>
      <c r="E553" s="43"/>
      <c r="H553" s="61"/>
    </row>
    <row r="554" spans="4:8" ht="15.75" customHeight="1">
      <c r="D554" s="43"/>
      <c r="E554" s="43"/>
      <c r="H554" s="61"/>
    </row>
    <row r="555" spans="4:8" ht="15.75" customHeight="1">
      <c r="D555" s="43"/>
      <c r="E555" s="43"/>
      <c r="H555" s="61"/>
    </row>
    <row r="556" spans="4:8" ht="15.75" customHeight="1">
      <c r="D556" s="43"/>
      <c r="E556" s="43"/>
      <c r="H556" s="61"/>
    </row>
    <row r="557" spans="4:8" ht="15.75" customHeight="1">
      <c r="D557" s="43"/>
      <c r="E557" s="43"/>
      <c r="H557" s="61"/>
    </row>
    <row r="558" spans="4:8" ht="15.75" customHeight="1">
      <c r="D558" s="43"/>
      <c r="E558" s="43"/>
      <c r="H558" s="61"/>
    </row>
    <row r="559" spans="4:8" ht="15.75" customHeight="1">
      <c r="D559" s="43"/>
      <c r="E559" s="43"/>
      <c r="H559" s="61"/>
    </row>
    <row r="560" spans="4:8" ht="15.75" customHeight="1">
      <c r="D560" s="43"/>
      <c r="E560" s="43"/>
      <c r="H560" s="61"/>
    </row>
    <row r="561" spans="4:8" ht="15.75" customHeight="1">
      <c r="D561" s="43"/>
      <c r="E561" s="43"/>
      <c r="H561" s="61"/>
    </row>
    <row r="562" spans="4:8" ht="15.75" customHeight="1">
      <c r="D562" s="43"/>
      <c r="E562" s="43"/>
      <c r="H562" s="61"/>
    </row>
    <row r="563" spans="4:8" ht="15.75" customHeight="1">
      <c r="D563" s="43"/>
      <c r="E563" s="43"/>
      <c r="H563" s="61"/>
    </row>
    <row r="564" spans="4:8" ht="15.75" customHeight="1">
      <c r="D564" s="43"/>
      <c r="E564" s="43"/>
      <c r="H564" s="61"/>
    </row>
    <row r="565" spans="4:8" ht="15.75" customHeight="1">
      <c r="D565" s="43"/>
      <c r="E565" s="43"/>
      <c r="H565" s="61"/>
    </row>
    <row r="566" spans="4:8" ht="15.75" customHeight="1">
      <c r="D566" s="43"/>
      <c r="E566" s="43"/>
      <c r="H566" s="61"/>
    </row>
    <row r="567" spans="4:8" ht="15.75" customHeight="1">
      <c r="D567" s="43"/>
      <c r="E567" s="43"/>
      <c r="H567" s="61"/>
    </row>
    <row r="568" spans="4:8" ht="15.75" customHeight="1">
      <c r="D568" s="43"/>
      <c r="E568" s="43"/>
      <c r="H568" s="61"/>
    </row>
    <row r="569" spans="4:8" ht="15.75" customHeight="1">
      <c r="D569" s="43"/>
      <c r="E569" s="43"/>
      <c r="H569" s="61"/>
    </row>
    <row r="570" spans="4:8" ht="15.75" customHeight="1">
      <c r="D570" s="43"/>
      <c r="E570" s="43"/>
      <c r="H570" s="61"/>
    </row>
    <row r="571" spans="4:8" ht="15.75" customHeight="1">
      <c r="D571" s="43"/>
      <c r="E571" s="43"/>
      <c r="H571" s="61"/>
    </row>
    <row r="572" spans="4:8" ht="15.75" customHeight="1">
      <c r="D572" s="43"/>
      <c r="E572" s="43"/>
      <c r="H572" s="61"/>
    </row>
    <row r="573" spans="4:8" ht="15.75" customHeight="1">
      <c r="D573" s="43"/>
      <c r="E573" s="43"/>
      <c r="H573" s="61"/>
    </row>
    <row r="574" spans="4:8" ht="15.75" customHeight="1">
      <c r="D574" s="43"/>
      <c r="E574" s="43"/>
      <c r="H574" s="61"/>
    </row>
    <row r="575" spans="4:8" ht="15.75" customHeight="1">
      <c r="D575" s="43"/>
      <c r="E575" s="43"/>
      <c r="H575" s="61"/>
    </row>
    <row r="576" spans="4:8" ht="15.75" customHeight="1">
      <c r="D576" s="43"/>
      <c r="E576" s="43"/>
      <c r="H576" s="61"/>
    </row>
    <row r="577" spans="4:8" ht="15.75" customHeight="1">
      <c r="D577" s="43"/>
      <c r="E577" s="43"/>
      <c r="H577" s="61"/>
    </row>
    <row r="578" spans="4:8" ht="15.75" customHeight="1">
      <c r="D578" s="43"/>
      <c r="E578" s="43"/>
      <c r="H578" s="61"/>
    </row>
    <row r="579" spans="4:8" ht="15.75" customHeight="1">
      <c r="D579" s="43"/>
      <c r="E579" s="43"/>
      <c r="H579" s="61"/>
    </row>
    <row r="580" spans="4:8" ht="15.75" customHeight="1">
      <c r="D580" s="43"/>
      <c r="E580" s="43"/>
      <c r="H580" s="61"/>
    </row>
    <row r="581" spans="4:8" ht="15.75" customHeight="1">
      <c r="D581" s="43"/>
      <c r="E581" s="43"/>
      <c r="H581" s="61"/>
    </row>
    <row r="582" spans="4:8" ht="15.75" customHeight="1">
      <c r="D582" s="43"/>
      <c r="E582" s="43"/>
      <c r="H582" s="61"/>
    </row>
    <row r="583" spans="4:8" ht="15.75" customHeight="1">
      <c r="D583" s="43"/>
      <c r="E583" s="43"/>
      <c r="H583" s="61"/>
    </row>
    <row r="584" spans="4:8" ht="15.75" customHeight="1">
      <c r="D584" s="43"/>
      <c r="E584" s="43"/>
      <c r="H584" s="61"/>
    </row>
    <row r="585" spans="4:8" ht="15.75" customHeight="1">
      <c r="D585" s="43"/>
      <c r="E585" s="43"/>
      <c r="H585" s="61"/>
    </row>
    <row r="586" spans="4:8" ht="15.75" customHeight="1">
      <c r="D586" s="43"/>
      <c r="E586" s="43"/>
      <c r="H586" s="61"/>
    </row>
    <row r="587" spans="4:8" ht="15.75" customHeight="1">
      <c r="D587" s="43"/>
      <c r="E587" s="43"/>
      <c r="H587" s="61"/>
    </row>
    <row r="588" spans="4:8" ht="15.75" customHeight="1">
      <c r="D588" s="43"/>
      <c r="E588" s="43"/>
      <c r="H588" s="61"/>
    </row>
    <row r="589" spans="4:8" ht="15.75" customHeight="1">
      <c r="D589" s="43"/>
      <c r="E589" s="43"/>
      <c r="H589" s="61"/>
    </row>
    <row r="590" spans="4:8" ht="15.75" customHeight="1">
      <c r="D590" s="43"/>
      <c r="E590" s="43"/>
      <c r="H590" s="61"/>
    </row>
    <row r="591" spans="4:8" ht="15.75" customHeight="1">
      <c r="D591" s="43"/>
      <c r="E591" s="43"/>
      <c r="H591" s="61"/>
    </row>
    <row r="592" spans="4:8" ht="15.75" customHeight="1">
      <c r="D592" s="43"/>
      <c r="E592" s="43"/>
      <c r="H592" s="61"/>
    </row>
    <row r="593" spans="4:8" ht="15.75" customHeight="1">
      <c r="D593" s="43"/>
      <c r="E593" s="43"/>
      <c r="H593" s="61"/>
    </row>
    <row r="594" spans="4:8" ht="15.75" customHeight="1">
      <c r="D594" s="43"/>
      <c r="E594" s="43"/>
      <c r="H594" s="61"/>
    </row>
    <row r="595" spans="4:8" ht="15.75" customHeight="1">
      <c r="D595" s="43"/>
      <c r="E595" s="43"/>
      <c r="H595" s="61"/>
    </row>
    <row r="596" spans="4:8" ht="15.75" customHeight="1">
      <c r="D596" s="43"/>
      <c r="E596" s="43"/>
      <c r="H596" s="61"/>
    </row>
    <row r="597" spans="4:8" ht="15.75" customHeight="1">
      <c r="D597" s="43"/>
      <c r="E597" s="43"/>
      <c r="H597" s="61"/>
    </row>
    <row r="598" spans="4:8" ht="15.75" customHeight="1">
      <c r="D598" s="43"/>
      <c r="E598" s="43"/>
      <c r="H598" s="61"/>
    </row>
    <row r="599" spans="4:8" ht="15.75" customHeight="1">
      <c r="D599" s="43"/>
      <c r="E599" s="43"/>
      <c r="H599" s="61"/>
    </row>
    <row r="600" spans="4:8" ht="15.75" customHeight="1">
      <c r="D600" s="43"/>
      <c r="E600" s="43"/>
      <c r="H600" s="61"/>
    </row>
    <row r="601" spans="4:8" ht="15.75" customHeight="1">
      <c r="D601" s="43"/>
      <c r="E601" s="43"/>
      <c r="H601" s="61"/>
    </row>
    <row r="602" spans="4:8" ht="15.75" customHeight="1">
      <c r="D602" s="43"/>
      <c r="E602" s="43"/>
      <c r="H602" s="61"/>
    </row>
    <row r="603" spans="4:8" ht="15.75" customHeight="1">
      <c r="D603" s="43"/>
      <c r="E603" s="43"/>
      <c r="H603" s="61"/>
    </row>
    <row r="604" spans="4:8" ht="15.75" customHeight="1">
      <c r="D604" s="43"/>
      <c r="E604" s="43"/>
      <c r="H604" s="61"/>
    </row>
    <row r="605" spans="4:8" ht="15.75" customHeight="1">
      <c r="D605" s="43"/>
      <c r="E605" s="43"/>
      <c r="H605" s="61"/>
    </row>
    <row r="606" spans="4:8" ht="15.75" customHeight="1">
      <c r="D606" s="43"/>
      <c r="E606" s="43"/>
      <c r="H606" s="61"/>
    </row>
    <row r="607" spans="4:8" ht="15.75" customHeight="1">
      <c r="D607" s="43"/>
      <c r="E607" s="43"/>
      <c r="H607" s="61"/>
    </row>
    <row r="608" spans="4:8" ht="15.75" customHeight="1">
      <c r="D608" s="43"/>
      <c r="E608" s="43"/>
      <c r="H608" s="61"/>
    </row>
    <row r="609" spans="4:8" ht="15.75" customHeight="1">
      <c r="D609" s="43"/>
      <c r="E609" s="43"/>
      <c r="H609" s="61"/>
    </row>
    <row r="610" spans="4:8" ht="15.75" customHeight="1">
      <c r="D610" s="43"/>
      <c r="E610" s="43"/>
      <c r="H610" s="61"/>
    </row>
    <row r="611" spans="4:8" ht="15.75" customHeight="1">
      <c r="D611" s="43"/>
      <c r="E611" s="43"/>
      <c r="H611" s="61"/>
    </row>
    <row r="612" spans="4:8" ht="15.75" customHeight="1">
      <c r="D612" s="43"/>
      <c r="E612" s="43"/>
      <c r="H612" s="61"/>
    </row>
    <row r="613" spans="4:8" ht="15.75" customHeight="1">
      <c r="D613" s="43"/>
      <c r="E613" s="43"/>
      <c r="H613" s="61"/>
    </row>
    <row r="614" spans="4:8" ht="15.75" customHeight="1">
      <c r="D614" s="43"/>
      <c r="E614" s="43"/>
      <c r="H614" s="61"/>
    </row>
    <row r="615" spans="4:8" ht="15.75" customHeight="1">
      <c r="D615" s="43"/>
      <c r="E615" s="43"/>
      <c r="H615" s="61"/>
    </row>
    <row r="616" spans="4:8" ht="15.75" customHeight="1">
      <c r="D616" s="43"/>
      <c r="E616" s="43"/>
      <c r="H616" s="61"/>
    </row>
    <row r="617" spans="4:8" ht="15.75" customHeight="1">
      <c r="D617" s="43"/>
      <c r="E617" s="43"/>
      <c r="H617" s="61"/>
    </row>
    <row r="618" spans="4:8" ht="15.75" customHeight="1">
      <c r="D618" s="43"/>
      <c r="E618" s="43"/>
      <c r="H618" s="61"/>
    </row>
    <row r="619" spans="4:8" ht="15.75" customHeight="1">
      <c r="D619" s="43"/>
      <c r="E619" s="43"/>
      <c r="H619" s="61"/>
    </row>
    <row r="620" spans="4:8" ht="15.75" customHeight="1">
      <c r="D620" s="43"/>
      <c r="E620" s="43"/>
      <c r="H620" s="61"/>
    </row>
    <row r="621" spans="4:8" ht="15.75" customHeight="1">
      <c r="D621" s="43"/>
      <c r="E621" s="43"/>
      <c r="H621" s="61"/>
    </row>
    <row r="622" spans="4:8" ht="15.75" customHeight="1">
      <c r="D622" s="43"/>
      <c r="E622" s="43"/>
      <c r="H622" s="61"/>
    </row>
    <row r="623" spans="4:8" ht="15.75" customHeight="1">
      <c r="D623" s="43"/>
      <c r="E623" s="43"/>
      <c r="H623" s="61"/>
    </row>
    <row r="624" spans="4:8" ht="15.75" customHeight="1">
      <c r="D624" s="43"/>
      <c r="E624" s="43"/>
      <c r="H624" s="61"/>
    </row>
    <row r="625" spans="4:8" ht="15.75" customHeight="1">
      <c r="D625" s="43"/>
      <c r="E625" s="43"/>
      <c r="H625" s="61"/>
    </row>
    <row r="626" spans="4:8" ht="15.75" customHeight="1">
      <c r="D626" s="43"/>
      <c r="E626" s="43"/>
      <c r="H626" s="61"/>
    </row>
    <row r="627" spans="4:8" ht="15.75" customHeight="1">
      <c r="D627" s="43"/>
      <c r="E627" s="43"/>
      <c r="H627" s="61"/>
    </row>
    <row r="628" spans="4:8" ht="15.75" customHeight="1">
      <c r="D628" s="43"/>
      <c r="E628" s="43"/>
      <c r="H628" s="61"/>
    </row>
    <row r="629" spans="4:8" ht="15.75" customHeight="1">
      <c r="D629" s="43"/>
      <c r="E629" s="43"/>
      <c r="H629" s="61"/>
    </row>
    <row r="630" spans="4:8" ht="15.75" customHeight="1">
      <c r="D630" s="43"/>
      <c r="E630" s="43"/>
      <c r="H630" s="61"/>
    </row>
    <row r="631" spans="4:8" ht="15.75" customHeight="1">
      <c r="D631" s="43"/>
      <c r="E631" s="43"/>
      <c r="H631" s="61"/>
    </row>
    <row r="632" spans="4:8" ht="15.75" customHeight="1">
      <c r="D632" s="43"/>
      <c r="E632" s="43"/>
      <c r="H632" s="61"/>
    </row>
    <row r="633" spans="4:8" ht="15.75" customHeight="1">
      <c r="D633" s="43"/>
      <c r="E633" s="43"/>
      <c r="H633" s="61"/>
    </row>
    <row r="634" spans="4:8" ht="15.75" customHeight="1">
      <c r="D634" s="43"/>
      <c r="E634" s="43"/>
      <c r="H634" s="61"/>
    </row>
    <row r="635" spans="4:8" ht="15.75" customHeight="1">
      <c r="D635" s="43"/>
      <c r="E635" s="43"/>
      <c r="H635" s="61"/>
    </row>
    <row r="636" spans="4:8" ht="15.75" customHeight="1">
      <c r="D636" s="43"/>
      <c r="E636" s="43"/>
      <c r="H636" s="61"/>
    </row>
    <row r="637" spans="4:8" ht="15.75" customHeight="1">
      <c r="D637" s="43"/>
      <c r="E637" s="43"/>
      <c r="H637" s="61"/>
    </row>
    <row r="638" spans="4:8" ht="15.75" customHeight="1">
      <c r="D638" s="43"/>
      <c r="E638" s="43"/>
      <c r="H638" s="61"/>
    </row>
    <row r="639" spans="4:8" ht="15.75" customHeight="1">
      <c r="D639" s="43"/>
      <c r="E639" s="43"/>
      <c r="H639" s="61"/>
    </row>
    <row r="640" spans="4:8" ht="15.75" customHeight="1">
      <c r="D640" s="43"/>
      <c r="E640" s="43"/>
      <c r="H640" s="61"/>
    </row>
    <row r="641" spans="4:8" ht="15.75" customHeight="1">
      <c r="D641" s="43"/>
      <c r="E641" s="43"/>
      <c r="H641" s="61"/>
    </row>
    <row r="642" spans="4:8" ht="15.75" customHeight="1">
      <c r="D642" s="43"/>
      <c r="E642" s="43"/>
      <c r="H642" s="61"/>
    </row>
    <row r="643" spans="4:8" ht="15.75" customHeight="1">
      <c r="D643" s="43"/>
      <c r="E643" s="43"/>
      <c r="H643" s="61"/>
    </row>
    <row r="644" spans="4:8" ht="15.75" customHeight="1">
      <c r="D644" s="43"/>
      <c r="E644" s="43"/>
      <c r="H644" s="61"/>
    </row>
    <row r="645" spans="4:8" ht="15.75" customHeight="1">
      <c r="D645" s="43"/>
      <c r="E645" s="43"/>
      <c r="H645" s="61"/>
    </row>
    <row r="646" spans="4:8" ht="15.75" customHeight="1">
      <c r="D646" s="43"/>
      <c r="E646" s="43"/>
      <c r="H646" s="61"/>
    </row>
    <row r="647" spans="4:8" ht="15.75" customHeight="1">
      <c r="D647" s="43"/>
      <c r="E647" s="43"/>
      <c r="H647" s="61"/>
    </row>
    <row r="648" spans="4:8" ht="15.75" customHeight="1">
      <c r="D648" s="43"/>
      <c r="E648" s="43"/>
      <c r="H648" s="61"/>
    </row>
    <row r="649" spans="4:8" ht="15.75" customHeight="1">
      <c r="D649" s="43"/>
      <c r="E649" s="43"/>
      <c r="H649" s="61"/>
    </row>
    <row r="650" spans="4:8" ht="15.75" customHeight="1">
      <c r="D650" s="43"/>
      <c r="E650" s="43"/>
      <c r="H650" s="61"/>
    </row>
    <row r="651" spans="4:8" ht="15.75" customHeight="1">
      <c r="D651" s="43"/>
      <c r="E651" s="43"/>
      <c r="H651" s="61"/>
    </row>
    <row r="652" spans="4:8" ht="15.75" customHeight="1">
      <c r="D652" s="43"/>
      <c r="E652" s="43"/>
      <c r="H652" s="61"/>
    </row>
    <row r="653" spans="4:8" ht="15.75" customHeight="1">
      <c r="D653" s="43"/>
      <c r="E653" s="43"/>
      <c r="H653" s="61"/>
    </row>
    <row r="654" spans="4:8" ht="15.75" customHeight="1">
      <c r="D654" s="43"/>
      <c r="E654" s="43"/>
      <c r="H654" s="61"/>
    </row>
    <row r="655" spans="4:8" ht="15.75" customHeight="1">
      <c r="D655" s="43"/>
      <c r="E655" s="43"/>
      <c r="H655" s="61"/>
    </row>
    <row r="656" spans="4:8" ht="15.75" customHeight="1">
      <c r="D656" s="43"/>
      <c r="E656" s="43"/>
      <c r="H656" s="61"/>
    </row>
    <row r="657" spans="4:8" ht="15.75" customHeight="1">
      <c r="D657" s="43"/>
      <c r="E657" s="43"/>
      <c r="H657" s="61"/>
    </row>
    <row r="658" spans="4:8" ht="15.75" customHeight="1">
      <c r="D658" s="43"/>
      <c r="E658" s="43"/>
      <c r="H658" s="61"/>
    </row>
    <row r="659" spans="4:8" ht="15.75" customHeight="1">
      <c r="D659" s="43"/>
      <c r="E659" s="43"/>
      <c r="H659" s="61"/>
    </row>
    <row r="660" spans="4:8" ht="15.75" customHeight="1">
      <c r="D660" s="43"/>
      <c r="E660" s="43"/>
      <c r="H660" s="61"/>
    </row>
    <row r="661" spans="4:8" ht="15.75" customHeight="1">
      <c r="D661" s="43"/>
      <c r="E661" s="43"/>
      <c r="H661" s="61"/>
    </row>
    <row r="662" spans="4:8" ht="15.75" customHeight="1">
      <c r="D662" s="43"/>
      <c r="E662" s="43"/>
      <c r="H662" s="61"/>
    </row>
    <row r="663" spans="4:8" ht="15.75" customHeight="1">
      <c r="D663" s="43"/>
      <c r="E663" s="43"/>
      <c r="H663" s="61"/>
    </row>
    <row r="664" spans="4:8" ht="15.75" customHeight="1">
      <c r="D664" s="43"/>
      <c r="E664" s="43"/>
      <c r="H664" s="61"/>
    </row>
    <row r="665" spans="4:8" ht="15.75" customHeight="1">
      <c r="D665" s="43"/>
      <c r="E665" s="43"/>
      <c r="H665" s="61"/>
    </row>
    <row r="666" spans="4:8" ht="15.75" customHeight="1">
      <c r="D666" s="43"/>
      <c r="E666" s="43"/>
      <c r="H666" s="61"/>
    </row>
    <row r="667" spans="4:8" ht="15.75" customHeight="1">
      <c r="D667" s="43"/>
      <c r="E667" s="43"/>
      <c r="H667" s="61"/>
    </row>
    <row r="668" spans="4:8" ht="15.75" customHeight="1">
      <c r="D668" s="43"/>
      <c r="E668" s="43"/>
      <c r="H668" s="61"/>
    </row>
    <row r="669" spans="4:8" ht="15.75" customHeight="1">
      <c r="D669" s="43"/>
      <c r="E669" s="43"/>
      <c r="H669" s="61"/>
    </row>
    <row r="670" spans="4:8" ht="15.75" customHeight="1">
      <c r="D670" s="43"/>
      <c r="E670" s="43"/>
      <c r="H670" s="61"/>
    </row>
    <row r="671" spans="4:8" ht="15.75" customHeight="1">
      <c r="D671" s="43"/>
      <c r="E671" s="43"/>
      <c r="H671" s="61"/>
    </row>
    <row r="672" spans="4:8" ht="15.75" customHeight="1">
      <c r="D672" s="43"/>
      <c r="E672" s="43"/>
      <c r="H672" s="61"/>
    </row>
    <row r="673" spans="4:8" ht="15.75" customHeight="1">
      <c r="D673" s="43"/>
      <c r="E673" s="43"/>
      <c r="H673" s="61"/>
    </row>
    <row r="674" spans="4:8" ht="15.75" customHeight="1">
      <c r="D674" s="43"/>
      <c r="E674" s="43"/>
      <c r="H674" s="61"/>
    </row>
    <row r="675" spans="4:8" ht="15.75" customHeight="1">
      <c r="D675" s="43"/>
      <c r="E675" s="43"/>
      <c r="H675" s="61"/>
    </row>
    <row r="676" spans="4:8" ht="15.75" customHeight="1">
      <c r="D676" s="43"/>
      <c r="E676" s="43"/>
      <c r="H676" s="61"/>
    </row>
    <row r="677" spans="4:8" ht="15.75" customHeight="1">
      <c r="D677" s="43"/>
      <c r="E677" s="43"/>
      <c r="H677" s="61"/>
    </row>
    <row r="678" spans="4:8" ht="15.75" customHeight="1">
      <c r="D678" s="43"/>
      <c r="E678" s="43"/>
      <c r="H678" s="61"/>
    </row>
    <row r="679" spans="4:8" ht="15.75" customHeight="1">
      <c r="D679" s="43"/>
      <c r="E679" s="43"/>
      <c r="H679" s="61"/>
    </row>
    <row r="680" spans="4:8" ht="15.75" customHeight="1">
      <c r="D680" s="43"/>
      <c r="E680" s="43"/>
      <c r="H680" s="61"/>
    </row>
    <row r="681" spans="4:8" ht="15.75" customHeight="1">
      <c r="D681" s="43"/>
      <c r="E681" s="43"/>
      <c r="H681" s="61"/>
    </row>
    <row r="682" spans="4:8" ht="15.75" customHeight="1">
      <c r="D682" s="43"/>
      <c r="E682" s="43"/>
      <c r="H682" s="61"/>
    </row>
    <row r="683" spans="4:8" ht="15.75" customHeight="1">
      <c r="D683" s="43"/>
      <c r="E683" s="43"/>
      <c r="H683" s="61"/>
    </row>
    <row r="684" spans="4:8" ht="15.75" customHeight="1">
      <c r="D684" s="43"/>
      <c r="E684" s="43"/>
      <c r="H684" s="61"/>
    </row>
    <row r="685" spans="4:8" ht="15.75" customHeight="1">
      <c r="D685" s="43"/>
      <c r="E685" s="43"/>
      <c r="H685" s="61"/>
    </row>
    <row r="686" spans="4:8" ht="15.75" customHeight="1">
      <c r="D686" s="43"/>
      <c r="E686" s="43"/>
      <c r="H686" s="61"/>
    </row>
    <row r="687" spans="4:8" ht="15.75" customHeight="1">
      <c r="D687" s="43"/>
      <c r="E687" s="43"/>
      <c r="H687" s="61"/>
    </row>
    <row r="688" spans="4:8" ht="15.75" customHeight="1">
      <c r="D688" s="43"/>
      <c r="E688" s="43"/>
      <c r="H688" s="61"/>
    </row>
    <row r="689" spans="4:8" ht="15.75" customHeight="1">
      <c r="D689" s="43"/>
      <c r="E689" s="43"/>
      <c r="H689" s="61"/>
    </row>
    <row r="690" spans="4:8" ht="15.75" customHeight="1">
      <c r="D690" s="43"/>
      <c r="E690" s="43"/>
      <c r="H690" s="61"/>
    </row>
    <row r="691" spans="4:8" ht="15.75" customHeight="1">
      <c r="D691" s="43"/>
      <c r="E691" s="43"/>
      <c r="H691" s="61"/>
    </row>
    <row r="692" spans="4:8" ht="15.75" customHeight="1">
      <c r="D692" s="43"/>
      <c r="E692" s="43"/>
      <c r="H692" s="61"/>
    </row>
    <row r="693" spans="4:8" ht="15.75" customHeight="1">
      <c r="D693" s="43"/>
      <c r="E693" s="43"/>
      <c r="H693" s="61"/>
    </row>
    <row r="694" spans="4:8" ht="15.75" customHeight="1">
      <c r="D694" s="43"/>
      <c r="E694" s="43"/>
      <c r="H694" s="61"/>
    </row>
    <row r="695" spans="4:8" ht="15.75" customHeight="1">
      <c r="D695" s="43"/>
      <c r="E695" s="43"/>
      <c r="H695" s="61"/>
    </row>
    <row r="696" spans="4:8" ht="15.75" customHeight="1">
      <c r="D696" s="43"/>
      <c r="E696" s="43"/>
      <c r="H696" s="61"/>
    </row>
    <row r="697" spans="4:8" ht="15.75" customHeight="1">
      <c r="D697" s="43"/>
      <c r="E697" s="43"/>
      <c r="H697" s="61"/>
    </row>
    <row r="698" spans="4:8" ht="15.75" customHeight="1">
      <c r="D698" s="43"/>
      <c r="E698" s="43"/>
      <c r="H698" s="61"/>
    </row>
    <row r="699" spans="4:8" ht="15.75" customHeight="1">
      <c r="D699" s="43"/>
      <c r="E699" s="43"/>
      <c r="H699" s="61"/>
    </row>
    <row r="700" spans="4:8" ht="15.75" customHeight="1">
      <c r="D700" s="43"/>
      <c r="E700" s="43"/>
      <c r="H700" s="61"/>
    </row>
    <row r="701" spans="4:8" ht="15.75" customHeight="1">
      <c r="D701" s="43"/>
      <c r="E701" s="43"/>
      <c r="H701" s="61"/>
    </row>
    <row r="702" spans="4:8" ht="15.75" customHeight="1">
      <c r="D702" s="43"/>
      <c r="E702" s="43"/>
      <c r="H702" s="61"/>
    </row>
    <row r="703" spans="4:8" ht="15.75" customHeight="1">
      <c r="D703" s="43"/>
      <c r="E703" s="43"/>
      <c r="H703" s="61"/>
    </row>
    <row r="704" spans="4:8" ht="15.75" customHeight="1">
      <c r="D704" s="43"/>
      <c r="E704" s="43"/>
      <c r="H704" s="61"/>
    </row>
    <row r="705" spans="4:8" ht="15.75" customHeight="1">
      <c r="D705" s="43"/>
      <c r="E705" s="43"/>
      <c r="H705" s="61"/>
    </row>
    <row r="706" spans="4:8" ht="15.75" customHeight="1">
      <c r="D706" s="43"/>
      <c r="E706" s="43"/>
      <c r="H706" s="61"/>
    </row>
    <row r="707" spans="4:8" ht="15.75" customHeight="1">
      <c r="D707" s="43"/>
      <c r="E707" s="43"/>
      <c r="H707" s="61"/>
    </row>
    <row r="708" spans="4:8" ht="15.75" customHeight="1">
      <c r="D708" s="43"/>
      <c r="E708" s="43"/>
      <c r="H708" s="61"/>
    </row>
    <row r="709" spans="4:8" ht="15.75" customHeight="1">
      <c r="D709" s="43"/>
      <c r="E709" s="43"/>
      <c r="H709" s="61"/>
    </row>
    <row r="710" spans="4:8" ht="15.75" customHeight="1">
      <c r="D710" s="43"/>
      <c r="E710" s="43"/>
      <c r="H710" s="61"/>
    </row>
    <row r="711" spans="4:8" ht="15.75" customHeight="1">
      <c r="D711" s="43"/>
      <c r="E711" s="43"/>
      <c r="H711" s="61"/>
    </row>
    <row r="712" spans="4:8" ht="15.75" customHeight="1">
      <c r="D712" s="43"/>
      <c r="E712" s="43"/>
      <c r="H712" s="61"/>
    </row>
    <row r="713" spans="4:8" ht="15.75" customHeight="1">
      <c r="D713" s="43"/>
      <c r="E713" s="43"/>
      <c r="H713" s="61"/>
    </row>
    <row r="714" spans="4:8" ht="15.75" customHeight="1">
      <c r="D714" s="43"/>
      <c r="E714" s="43"/>
      <c r="H714" s="61"/>
    </row>
    <row r="715" spans="4:8" ht="15.75" customHeight="1">
      <c r="D715" s="43"/>
      <c r="E715" s="43"/>
      <c r="H715" s="61"/>
    </row>
    <row r="716" spans="4:8" ht="15.75" customHeight="1">
      <c r="D716" s="43"/>
      <c r="E716" s="43"/>
      <c r="H716" s="61"/>
    </row>
    <row r="717" spans="4:8" ht="15.75" customHeight="1">
      <c r="D717" s="43"/>
      <c r="E717" s="43"/>
      <c r="H717" s="61"/>
    </row>
    <row r="718" spans="4:8" ht="15.75" customHeight="1">
      <c r="D718" s="43"/>
      <c r="E718" s="43"/>
      <c r="H718" s="61"/>
    </row>
    <row r="719" spans="4:8" ht="15.75" customHeight="1">
      <c r="D719" s="43"/>
      <c r="E719" s="43"/>
      <c r="H719" s="61"/>
    </row>
    <row r="720" spans="4:8" ht="15.75" customHeight="1">
      <c r="D720" s="43"/>
      <c r="E720" s="43"/>
      <c r="H720" s="61"/>
    </row>
    <row r="721" spans="4:8" ht="15.75" customHeight="1">
      <c r="D721" s="43"/>
      <c r="E721" s="43"/>
      <c r="H721" s="61"/>
    </row>
    <row r="722" spans="4:8" ht="15.75" customHeight="1">
      <c r="D722" s="43"/>
      <c r="E722" s="43"/>
      <c r="H722" s="61"/>
    </row>
    <row r="723" spans="4:8" ht="15.75" customHeight="1">
      <c r="D723" s="43"/>
      <c r="E723" s="43"/>
      <c r="H723" s="61"/>
    </row>
    <row r="724" spans="4:8" ht="15.75" customHeight="1">
      <c r="D724" s="43"/>
      <c r="E724" s="43"/>
      <c r="H724" s="61"/>
    </row>
    <row r="725" spans="4:8" ht="15.75" customHeight="1">
      <c r="D725" s="43"/>
      <c r="E725" s="43"/>
      <c r="H725" s="61"/>
    </row>
    <row r="726" spans="4:8" ht="15.75" customHeight="1">
      <c r="D726" s="43"/>
      <c r="E726" s="43"/>
      <c r="H726" s="61"/>
    </row>
    <row r="727" spans="4:8" ht="15.75" customHeight="1">
      <c r="D727" s="43"/>
      <c r="E727" s="43"/>
      <c r="H727" s="61"/>
    </row>
    <row r="728" spans="4:8" ht="15.75" customHeight="1">
      <c r="D728" s="43"/>
      <c r="E728" s="43"/>
      <c r="H728" s="61"/>
    </row>
    <row r="729" spans="4:8" ht="15.75" customHeight="1">
      <c r="D729" s="43"/>
      <c r="E729" s="43"/>
      <c r="H729" s="61"/>
    </row>
    <row r="730" spans="4:8" ht="15.75" customHeight="1">
      <c r="D730" s="43"/>
      <c r="E730" s="43"/>
      <c r="H730" s="61"/>
    </row>
    <row r="731" spans="4:8" ht="15.75" customHeight="1">
      <c r="D731" s="43"/>
      <c r="E731" s="43"/>
      <c r="H731" s="61"/>
    </row>
    <row r="732" spans="4:8" ht="15.75" customHeight="1">
      <c r="D732" s="43"/>
      <c r="E732" s="43"/>
      <c r="H732" s="61"/>
    </row>
    <row r="733" spans="4:8" ht="15.75" customHeight="1">
      <c r="D733" s="43"/>
      <c r="E733" s="43"/>
      <c r="H733" s="61"/>
    </row>
    <row r="734" spans="4:8" ht="15.75" customHeight="1">
      <c r="D734" s="43"/>
      <c r="E734" s="43"/>
      <c r="H734" s="61"/>
    </row>
    <row r="735" spans="4:8" ht="15.75" customHeight="1">
      <c r="D735" s="43"/>
      <c r="E735" s="43"/>
      <c r="H735" s="61"/>
    </row>
    <row r="736" spans="4:8" ht="15.75" customHeight="1">
      <c r="D736" s="43"/>
      <c r="E736" s="43"/>
      <c r="H736" s="61"/>
    </row>
    <row r="737" spans="4:8" ht="15.75" customHeight="1">
      <c r="D737" s="43"/>
      <c r="E737" s="43"/>
      <c r="H737" s="61"/>
    </row>
    <row r="738" spans="4:8" ht="15.75" customHeight="1">
      <c r="D738" s="43"/>
      <c r="E738" s="43"/>
      <c r="H738" s="61"/>
    </row>
    <row r="739" spans="4:8" ht="15.75" customHeight="1">
      <c r="D739" s="43"/>
      <c r="E739" s="43"/>
      <c r="H739" s="61"/>
    </row>
    <row r="740" spans="4:8" ht="15.75" customHeight="1">
      <c r="D740" s="43"/>
      <c r="E740" s="43"/>
      <c r="H740" s="61"/>
    </row>
    <row r="741" spans="4:8" ht="15.75" customHeight="1">
      <c r="D741" s="43"/>
      <c r="E741" s="43"/>
      <c r="H741" s="61"/>
    </row>
    <row r="742" spans="4:8" ht="15.75" customHeight="1">
      <c r="D742" s="43"/>
      <c r="E742" s="43"/>
      <c r="H742" s="61"/>
    </row>
    <row r="743" spans="4:8" ht="15.75" customHeight="1">
      <c r="D743" s="43"/>
      <c r="E743" s="43"/>
      <c r="H743" s="61"/>
    </row>
    <row r="744" spans="4:8" ht="15.75" customHeight="1">
      <c r="D744" s="43"/>
      <c r="E744" s="43"/>
      <c r="H744" s="61"/>
    </row>
    <row r="745" spans="4:8" ht="15.75" customHeight="1">
      <c r="D745" s="43"/>
      <c r="E745" s="43"/>
      <c r="H745" s="61"/>
    </row>
    <row r="746" spans="4:8" ht="15.75" customHeight="1">
      <c r="D746" s="43"/>
      <c r="E746" s="43"/>
      <c r="H746" s="61"/>
    </row>
    <row r="747" spans="4:8" ht="15.75" customHeight="1">
      <c r="D747" s="43"/>
      <c r="E747" s="43"/>
      <c r="H747" s="61"/>
    </row>
    <row r="748" spans="4:8" ht="15.75" customHeight="1">
      <c r="D748" s="43"/>
      <c r="E748" s="43"/>
      <c r="H748" s="61"/>
    </row>
    <row r="749" spans="4:8" ht="15.75" customHeight="1">
      <c r="D749" s="43"/>
      <c r="E749" s="43"/>
      <c r="H749" s="61"/>
    </row>
    <row r="750" spans="4:8" ht="15.75" customHeight="1">
      <c r="D750" s="43"/>
      <c r="E750" s="43"/>
      <c r="H750" s="61"/>
    </row>
    <row r="751" spans="4:8" ht="15.75" customHeight="1">
      <c r="D751" s="43"/>
      <c r="E751" s="43"/>
      <c r="H751" s="61"/>
    </row>
    <row r="752" spans="4:8" ht="15.75" customHeight="1">
      <c r="D752" s="43"/>
      <c r="E752" s="43"/>
      <c r="H752" s="61"/>
    </row>
    <row r="753" spans="4:8" ht="15.75" customHeight="1">
      <c r="D753" s="43"/>
      <c r="E753" s="43"/>
      <c r="H753" s="61"/>
    </row>
    <row r="754" spans="4:8" ht="15.75" customHeight="1">
      <c r="D754" s="43"/>
      <c r="E754" s="43"/>
      <c r="H754" s="61"/>
    </row>
    <row r="755" spans="4:8" ht="15.75" customHeight="1">
      <c r="D755" s="43"/>
      <c r="E755" s="43"/>
      <c r="H755" s="61"/>
    </row>
    <row r="756" spans="4:8" ht="15.75" customHeight="1">
      <c r="D756" s="43"/>
      <c r="E756" s="43"/>
      <c r="H756" s="61"/>
    </row>
    <row r="757" spans="4:8" ht="15.75" customHeight="1">
      <c r="D757" s="43"/>
      <c r="E757" s="43"/>
      <c r="H757" s="61"/>
    </row>
    <row r="758" spans="4:8" ht="15.75" customHeight="1">
      <c r="D758" s="43"/>
      <c r="E758" s="43"/>
      <c r="H758" s="61"/>
    </row>
    <row r="759" spans="4:8" ht="15.75" customHeight="1">
      <c r="D759" s="43"/>
      <c r="E759" s="43"/>
      <c r="H759" s="61"/>
    </row>
    <row r="760" spans="4:8" ht="15.75" customHeight="1">
      <c r="D760" s="43"/>
      <c r="E760" s="43"/>
      <c r="H760" s="61"/>
    </row>
    <row r="761" spans="4:8" ht="15.75" customHeight="1">
      <c r="D761" s="43"/>
      <c r="E761" s="43"/>
      <c r="H761" s="61"/>
    </row>
    <row r="762" spans="4:8" ht="15.75" customHeight="1">
      <c r="D762" s="43"/>
      <c r="E762" s="43"/>
      <c r="H762" s="61"/>
    </row>
    <row r="763" spans="4:8" ht="15.75" customHeight="1">
      <c r="D763" s="43"/>
      <c r="E763" s="43"/>
      <c r="H763" s="61"/>
    </row>
    <row r="764" spans="4:8" ht="15.75" customHeight="1">
      <c r="D764" s="43"/>
      <c r="E764" s="43"/>
      <c r="H764" s="61"/>
    </row>
    <row r="765" spans="4:8" ht="15.75" customHeight="1">
      <c r="D765" s="43"/>
      <c r="E765" s="43"/>
      <c r="H765" s="61"/>
    </row>
    <row r="766" spans="4:8" ht="15.75" customHeight="1">
      <c r="D766" s="43"/>
      <c r="E766" s="43"/>
      <c r="H766" s="61"/>
    </row>
    <row r="767" spans="4:8" ht="15.75" customHeight="1">
      <c r="D767" s="43"/>
      <c r="E767" s="43"/>
      <c r="H767" s="61"/>
    </row>
    <row r="768" spans="4:8" ht="15.75" customHeight="1">
      <c r="D768" s="43"/>
      <c r="E768" s="43"/>
      <c r="H768" s="61"/>
    </row>
    <row r="769" spans="4:8" ht="15.75" customHeight="1">
      <c r="D769" s="43"/>
      <c r="E769" s="43"/>
      <c r="H769" s="61"/>
    </row>
    <row r="770" spans="4:8" ht="15.75" customHeight="1">
      <c r="D770" s="43"/>
      <c r="E770" s="43"/>
      <c r="H770" s="61"/>
    </row>
    <row r="771" spans="4:8" ht="15.75" customHeight="1">
      <c r="D771" s="43"/>
      <c r="E771" s="43"/>
      <c r="H771" s="61"/>
    </row>
    <row r="772" spans="4:8" ht="15.75" customHeight="1">
      <c r="D772" s="43"/>
      <c r="E772" s="43"/>
      <c r="H772" s="61"/>
    </row>
    <row r="773" spans="4:8" ht="15.75" customHeight="1">
      <c r="D773" s="43"/>
      <c r="E773" s="43"/>
      <c r="H773" s="61"/>
    </row>
    <row r="774" spans="4:8" ht="15.75" customHeight="1">
      <c r="D774" s="43"/>
      <c r="E774" s="43"/>
      <c r="H774" s="61"/>
    </row>
    <row r="775" spans="4:8" ht="15.75" customHeight="1">
      <c r="D775" s="43"/>
      <c r="E775" s="43"/>
      <c r="H775" s="61"/>
    </row>
    <row r="776" spans="4:8" ht="15.75" customHeight="1">
      <c r="D776" s="43"/>
      <c r="E776" s="43"/>
      <c r="H776" s="61"/>
    </row>
    <row r="777" spans="4:8" ht="15.75" customHeight="1">
      <c r="D777" s="43"/>
      <c r="E777" s="43"/>
      <c r="H777" s="61"/>
    </row>
    <row r="778" spans="4:8" ht="15.75" customHeight="1">
      <c r="D778" s="43"/>
      <c r="E778" s="43"/>
      <c r="H778" s="61"/>
    </row>
    <row r="779" spans="4:8" ht="15.75" customHeight="1">
      <c r="D779" s="43"/>
      <c r="E779" s="43"/>
      <c r="H779" s="61"/>
    </row>
    <row r="780" spans="4:8" ht="15.75" customHeight="1">
      <c r="D780" s="43"/>
      <c r="E780" s="43"/>
      <c r="H780" s="61"/>
    </row>
    <row r="781" spans="4:8" ht="15.75" customHeight="1">
      <c r="D781" s="43"/>
      <c r="E781" s="43"/>
      <c r="H781" s="61"/>
    </row>
    <row r="782" spans="4:8" ht="15.75" customHeight="1">
      <c r="D782" s="43"/>
      <c r="E782" s="43"/>
      <c r="H782" s="61"/>
    </row>
    <row r="783" spans="4:8" ht="15.75" customHeight="1">
      <c r="D783" s="43"/>
      <c r="E783" s="43"/>
      <c r="H783" s="61"/>
    </row>
    <row r="784" spans="4:8" ht="15.75" customHeight="1">
      <c r="D784" s="43"/>
      <c r="E784" s="43"/>
      <c r="H784" s="61"/>
    </row>
    <row r="785" spans="4:8" ht="15.75" customHeight="1">
      <c r="D785" s="43"/>
      <c r="E785" s="43"/>
      <c r="H785" s="61"/>
    </row>
    <row r="786" spans="4:8" ht="15.75" customHeight="1">
      <c r="D786" s="43"/>
      <c r="E786" s="43"/>
      <c r="H786" s="61"/>
    </row>
    <row r="787" spans="4:8" ht="15.75" customHeight="1">
      <c r="D787" s="43"/>
      <c r="E787" s="43"/>
      <c r="H787" s="61"/>
    </row>
    <row r="788" spans="4:8" ht="15.75" customHeight="1">
      <c r="D788" s="43"/>
      <c r="E788" s="43"/>
      <c r="H788" s="61"/>
    </row>
    <row r="789" spans="4:8" ht="15.75" customHeight="1">
      <c r="D789" s="43"/>
      <c r="E789" s="43"/>
      <c r="H789" s="61"/>
    </row>
    <row r="790" spans="4:8" ht="15.75" customHeight="1">
      <c r="D790" s="43"/>
      <c r="E790" s="43"/>
      <c r="H790" s="61"/>
    </row>
    <row r="791" spans="4:8" ht="15.75" customHeight="1">
      <c r="D791" s="43"/>
      <c r="E791" s="43"/>
      <c r="H791" s="61"/>
    </row>
    <row r="792" spans="4:8" ht="15.75" customHeight="1">
      <c r="D792" s="43"/>
      <c r="E792" s="43"/>
      <c r="H792" s="61"/>
    </row>
    <row r="793" spans="4:8" ht="15.75" customHeight="1">
      <c r="D793" s="43"/>
      <c r="E793" s="43"/>
      <c r="H793" s="61"/>
    </row>
    <row r="794" spans="4:8" ht="15.75" customHeight="1">
      <c r="D794" s="43"/>
      <c r="E794" s="43"/>
      <c r="H794" s="61"/>
    </row>
    <row r="795" spans="4:8" ht="15.75" customHeight="1">
      <c r="D795" s="43"/>
      <c r="E795" s="43"/>
      <c r="H795" s="61"/>
    </row>
    <row r="796" spans="4:8" ht="15.75" customHeight="1">
      <c r="D796" s="43"/>
      <c r="E796" s="43"/>
      <c r="H796" s="61"/>
    </row>
    <row r="797" spans="4:8" ht="15.75" customHeight="1">
      <c r="D797" s="43"/>
      <c r="E797" s="43"/>
      <c r="H797" s="61"/>
    </row>
    <row r="798" spans="4:8" ht="15.75" customHeight="1">
      <c r="D798" s="43"/>
      <c r="E798" s="43"/>
      <c r="H798" s="61"/>
    </row>
    <row r="799" spans="4:8" ht="15.75" customHeight="1">
      <c r="D799" s="43"/>
      <c r="E799" s="43"/>
      <c r="H799" s="61"/>
    </row>
    <row r="800" spans="4:8" ht="15.75" customHeight="1">
      <c r="D800" s="43"/>
      <c r="E800" s="43"/>
      <c r="H800" s="61"/>
    </row>
    <row r="801" spans="4:8" ht="15.75" customHeight="1">
      <c r="D801" s="43"/>
      <c r="E801" s="43"/>
      <c r="H801" s="61"/>
    </row>
    <row r="802" spans="4:8" ht="15.75" customHeight="1">
      <c r="D802" s="43"/>
      <c r="E802" s="43"/>
      <c r="H802" s="61"/>
    </row>
    <row r="803" spans="4:8" ht="15.75" customHeight="1">
      <c r="D803" s="43"/>
      <c r="E803" s="43"/>
      <c r="H803" s="61"/>
    </row>
    <row r="804" spans="4:8" ht="15.75" customHeight="1">
      <c r="D804" s="43"/>
      <c r="E804" s="43"/>
      <c r="H804" s="61"/>
    </row>
    <row r="805" spans="4:8" ht="15.75" customHeight="1">
      <c r="D805" s="43"/>
      <c r="E805" s="43"/>
      <c r="H805" s="61"/>
    </row>
    <row r="806" spans="4:8" ht="15.75" customHeight="1">
      <c r="D806" s="43"/>
      <c r="E806" s="43"/>
      <c r="H806" s="61"/>
    </row>
    <row r="807" spans="4:8" ht="15.75" customHeight="1">
      <c r="D807" s="43"/>
      <c r="E807" s="43"/>
      <c r="H807" s="61"/>
    </row>
    <row r="808" spans="4:8" ht="15.75" customHeight="1">
      <c r="D808" s="43"/>
      <c r="E808" s="43"/>
      <c r="H808" s="61"/>
    </row>
    <row r="809" spans="4:8" ht="15.75" customHeight="1">
      <c r="D809" s="43"/>
      <c r="E809" s="43"/>
      <c r="H809" s="61"/>
    </row>
    <row r="810" spans="4:8" ht="15.75" customHeight="1">
      <c r="D810" s="43"/>
      <c r="E810" s="43"/>
      <c r="H810" s="61"/>
    </row>
    <row r="811" spans="4:8" ht="15.75" customHeight="1">
      <c r="D811" s="43"/>
      <c r="E811" s="43"/>
      <c r="H811" s="61"/>
    </row>
    <row r="812" spans="4:8" ht="15.75" customHeight="1">
      <c r="D812" s="43"/>
      <c r="E812" s="43"/>
      <c r="H812" s="61"/>
    </row>
    <row r="813" spans="4:8" ht="15.75" customHeight="1">
      <c r="D813" s="43"/>
      <c r="E813" s="43"/>
      <c r="H813" s="61"/>
    </row>
    <row r="814" spans="4:8" ht="15.75" customHeight="1">
      <c r="D814" s="43"/>
      <c r="E814" s="43"/>
      <c r="H814" s="61"/>
    </row>
    <row r="815" spans="4:8" ht="15.75" customHeight="1">
      <c r="D815" s="43"/>
      <c r="E815" s="43"/>
      <c r="H815" s="61"/>
    </row>
    <row r="816" spans="4:8" ht="15.75" customHeight="1">
      <c r="D816" s="43"/>
      <c r="E816" s="43"/>
      <c r="H816" s="61"/>
    </row>
    <row r="817" spans="4:8" ht="15.75" customHeight="1">
      <c r="D817" s="43"/>
      <c r="E817" s="43"/>
      <c r="H817" s="61"/>
    </row>
    <row r="818" spans="4:8" ht="15.75" customHeight="1">
      <c r="D818" s="43"/>
      <c r="E818" s="43"/>
      <c r="H818" s="61"/>
    </row>
    <row r="819" spans="4:8" ht="15.75" customHeight="1">
      <c r="D819" s="43"/>
      <c r="E819" s="43"/>
      <c r="H819" s="61"/>
    </row>
    <row r="820" spans="4:8" ht="15.75" customHeight="1">
      <c r="D820" s="43"/>
      <c r="E820" s="43"/>
      <c r="H820" s="61"/>
    </row>
    <row r="821" spans="4:8" ht="15.75" customHeight="1">
      <c r="D821" s="43"/>
      <c r="E821" s="43"/>
      <c r="H821" s="61"/>
    </row>
    <row r="822" spans="4:8" ht="15.75" customHeight="1">
      <c r="D822" s="43"/>
      <c r="E822" s="43"/>
      <c r="H822" s="61"/>
    </row>
    <row r="823" spans="4:8" ht="15.75" customHeight="1">
      <c r="D823" s="43"/>
      <c r="E823" s="43"/>
      <c r="H823" s="61"/>
    </row>
    <row r="824" spans="4:8" ht="15.75" customHeight="1">
      <c r="D824" s="43"/>
      <c r="E824" s="43"/>
      <c r="H824" s="61"/>
    </row>
    <row r="825" spans="4:8" ht="15.75" customHeight="1">
      <c r="D825" s="43"/>
      <c r="E825" s="43"/>
      <c r="H825" s="61"/>
    </row>
    <row r="826" spans="4:8" ht="15.75" customHeight="1">
      <c r="D826" s="43"/>
      <c r="E826" s="43"/>
      <c r="H826" s="61"/>
    </row>
    <row r="827" spans="4:8" ht="15.75" customHeight="1">
      <c r="D827" s="43"/>
      <c r="E827" s="43"/>
      <c r="H827" s="61"/>
    </row>
    <row r="828" spans="4:8" ht="15.75" customHeight="1">
      <c r="D828" s="43"/>
      <c r="E828" s="43"/>
      <c r="H828" s="61"/>
    </row>
    <row r="829" spans="4:8" ht="15.75" customHeight="1">
      <c r="D829" s="43"/>
      <c r="E829" s="43"/>
      <c r="H829" s="61"/>
    </row>
    <row r="830" spans="4:8" ht="15.75" customHeight="1">
      <c r="D830" s="43"/>
      <c r="E830" s="43"/>
      <c r="H830" s="61"/>
    </row>
    <row r="831" spans="4:8" ht="15.75" customHeight="1">
      <c r="D831" s="43"/>
      <c r="E831" s="43"/>
      <c r="H831" s="61"/>
    </row>
    <row r="832" spans="4:8" ht="15.75" customHeight="1">
      <c r="D832" s="43"/>
      <c r="E832" s="43"/>
      <c r="H832" s="61"/>
    </row>
    <row r="833" spans="4:8" ht="15.75" customHeight="1">
      <c r="D833" s="43"/>
      <c r="E833" s="43"/>
      <c r="H833" s="61"/>
    </row>
    <row r="834" spans="4:8" ht="15.75" customHeight="1">
      <c r="D834" s="43"/>
      <c r="E834" s="43"/>
      <c r="H834" s="61"/>
    </row>
    <row r="835" spans="4:8" ht="15.75" customHeight="1">
      <c r="D835" s="43"/>
      <c r="E835" s="43"/>
      <c r="H835" s="61"/>
    </row>
    <row r="836" spans="4:8" ht="15.75" customHeight="1">
      <c r="D836" s="43"/>
      <c r="E836" s="43"/>
      <c r="H836" s="61"/>
    </row>
    <row r="837" spans="4:8" ht="15.75" customHeight="1">
      <c r="D837" s="43"/>
      <c r="E837" s="43"/>
      <c r="H837" s="61"/>
    </row>
    <row r="838" spans="4:8" ht="15.75" customHeight="1">
      <c r="D838" s="43"/>
      <c r="E838" s="43"/>
      <c r="H838" s="61"/>
    </row>
    <row r="839" spans="4:8" ht="15.75" customHeight="1">
      <c r="D839" s="43"/>
      <c r="E839" s="43"/>
      <c r="H839" s="61"/>
    </row>
    <row r="840" spans="4:8" ht="15.75" customHeight="1">
      <c r="D840" s="43"/>
      <c r="E840" s="43"/>
      <c r="H840" s="61"/>
    </row>
    <row r="841" spans="4:8" ht="15.75" customHeight="1">
      <c r="D841" s="43"/>
      <c r="E841" s="43"/>
      <c r="H841" s="61"/>
    </row>
    <row r="842" spans="4:8" ht="15.75" customHeight="1">
      <c r="D842" s="43"/>
      <c r="E842" s="43"/>
      <c r="H842" s="61"/>
    </row>
    <row r="843" spans="4:8" ht="15.75" customHeight="1">
      <c r="D843" s="43"/>
      <c r="E843" s="43"/>
      <c r="H843" s="61"/>
    </row>
    <row r="844" spans="4:8" ht="15.75" customHeight="1">
      <c r="D844" s="43"/>
      <c r="E844" s="43"/>
      <c r="H844" s="61"/>
    </row>
    <row r="845" spans="4:8" ht="15.75" customHeight="1">
      <c r="D845" s="43"/>
      <c r="E845" s="43"/>
      <c r="H845" s="61"/>
    </row>
    <row r="846" spans="4:8" ht="15.75" customHeight="1">
      <c r="D846" s="43"/>
      <c r="E846" s="43"/>
      <c r="H846" s="61"/>
    </row>
    <row r="847" spans="4:8" ht="15.75" customHeight="1">
      <c r="D847" s="43"/>
      <c r="E847" s="43"/>
      <c r="H847" s="61"/>
    </row>
    <row r="848" spans="4:8" ht="15.75" customHeight="1">
      <c r="D848" s="43"/>
      <c r="E848" s="43"/>
      <c r="H848" s="61"/>
    </row>
    <row r="849" spans="4:8" ht="15.75" customHeight="1">
      <c r="D849" s="43"/>
      <c r="E849" s="43"/>
      <c r="H849" s="61"/>
    </row>
    <row r="850" spans="4:8" ht="15.75" customHeight="1">
      <c r="D850" s="43"/>
      <c r="E850" s="43"/>
      <c r="H850" s="61"/>
    </row>
    <row r="851" spans="4:8" ht="15.75" customHeight="1">
      <c r="D851" s="43"/>
      <c r="E851" s="43"/>
      <c r="H851" s="61"/>
    </row>
    <row r="852" spans="4:8" ht="15.75" customHeight="1">
      <c r="D852" s="43"/>
      <c r="E852" s="43"/>
      <c r="H852" s="61"/>
    </row>
    <row r="853" spans="4:8" ht="15.75" customHeight="1">
      <c r="D853" s="43"/>
      <c r="E853" s="43"/>
      <c r="H853" s="61"/>
    </row>
    <row r="854" spans="4:8" ht="15.75" customHeight="1">
      <c r="D854" s="43"/>
      <c r="E854" s="43"/>
      <c r="H854" s="61"/>
    </row>
    <row r="855" spans="4:8" ht="15.75" customHeight="1">
      <c r="D855" s="43"/>
      <c r="E855" s="43"/>
      <c r="H855" s="61"/>
    </row>
    <row r="856" spans="4:8" ht="15.75" customHeight="1">
      <c r="D856" s="43"/>
      <c r="E856" s="43"/>
      <c r="H856" s="61"/>
    </row>
    <row r="857" spans="4:8" ht="15.75" customHeight="1">
      <c r="D857" s="43"/>
      <c r="E857" s="43"/>
      <c r="H857" s="61"/>
    </row>
    <row r="858" spans="4:8" ht="15.75" customHeight="1">
      <c r="D858" s="43"/>
      <c r="E858" s="43"/>
      <c r="H858" s="61"/>
    </row>
    <row r="859" spans="4:8" ht="15.75" customHeight="1">
      <c r="D859" s="43"/>
      <c r="E859" s="43"/>
      <c r="H859" s="61"/>
    </row>
    <row r="860" spans="4:8" ht="15.75" customHeight="1">
      <c r="D860" s="43"/>
      <c r="E860" s="43"/>
      <c r="H860" s="61"/>
    </row>
    <row r="861" spans="4:8" ht="15.75" customHeight="1">
      <c r="D861" s="43"/>
      <c r="E861" s="43"/>
      <c r="H861" s="61"/>
    </row>
    <row r="862" spans="4:8" ht="15.75" customHeight="1">
      <c r="D862" s="43"/>
      <c r="E862" s="43"/>
      <c r="H862" s="61"/>
    </row>
    <row r="863" spans="4:8" ht="15.75" customHeight="1">
      <c r="D863" s="43"/>
      <c r="E863" s="43"/>
      <c r="H863" s="61"/>
    </row>
    <row r="864" spans="4:8" ht="15.75" customHeight="1">
      <c r="D864" s="43"/>
      <c r="E864" s="43"/>
      <c r="H864" s="61"/>
    </row>
    <row r="865" spans="4:8" ht="15.75" customHeight="1">
      <c r="D865" s="43"/>
      <c r="E865" s="43"/>
      <c r="H865" s="61"/>
    </row>
    <row r="866" spans="4:8" ht="15.75" customHeight="1">
      <c r="D866" s="43"/>
      <c r="E866" s="43"/>
      <c r="H866" s="61"/>
    </row>
    <row r="867" spans="4:8" ht="15.75" customHeight="1">
      <c r="D867" s="43"/>
      <c r="E867" s="43"/>
      <c r="H867" s="61"/>
    </row>
    <row r="868" spans="4:8" ht="15.75" customHeight="1">
      <c r="D868" s="43"/>
      <c r="E868" s="43"/>
      <c r="H868" s="61"/>
    </row>
    <row r="869" spans="4:8" ht="15.75" customHeight="1">
      <c r="D869" s="43"/>
      <c r="E869" s="43"/>
      <c r="H869" s="61"/>
    </row>
    <row r="870" spans="4:8" ht="15.75" customHeight="1">
      <c r="D870" s="43"/>
      <c r="E870" s="43"/>
      <c r="H870" s="61"/>
    </row>
    <row r="871" spans="4:8" ht="15.75" customHeight="1">
      <c r="D871" s="43"/>
      <c r="E871" s="43"/>
      <c r="H871" s="61"/>
    </row>
    <row r="872" spans="4:8" ht="15.75" customHeight="1">
      <c r="D872" s="43"/>
      <c r="E872" s="43"/>
      <c r="H872" s="61"/>
    </row>
    <row r="873" spans="4:8" ht="15.75" customHeight="1">
      <c r="D873" s="43"/>
      <c r="E873" s="43"/>
      <c r="H873" s="61"/>
    </row>
    <row r="874" spans="4:8" ht="15.75" customHeight="1">
      <c r="D874" s="43"/>
      <c r="E874" s="43"/>
      <c r="H874" s="61"/>
    </row>
    <row r="875" spans="4:8" ht="15.75" customHeight="1">
      <c r="D875" s="43"/>
      <c r="E875" s="43"/>
      <c r="H875" s="61"/>
    </row>
    <row r="876" spans="4:8" ht="15.75" customHeight="1">
      <c r="D876" s="43"/>
      <c r="E876" s="43"/>
      <c r="H876" s="61"/>
    </row>
    <row r="877" spans="4:8" ht="15.75" customHeight="1">
      <c r="D877" s="43"/>
      <c r="E877" s="43"/>
      <c r="H877" s="61"/>
    </row>
    <row r="878" spans="4:8" ht="15.75" customHeight="1">
      <c r="D878" s="43"/>
      <c r="E878" s="43"/>
      <c r="H878" s="61"/>
    </row>
    <row r="879" spans="4:8" ht="15.75" customHeight="1">
      <c r="D879" s="43"/>
      <c r="E879" s="43"/>
      <c r="H879" s="61"/>
    </row>
    <row r="880" spans="4:8" ht="15.75" customHeight="1">
      <c r="D880" s="43"/>
      <c r="E880" s="43"/>
      <c r="H880" s="61"/>
    </row>
    <row r="881" spans="4:8" ht="15.75" customHeight="1">
      <c r="D881" s="43"/>
      <c r="E881" s="43"/>
      <c r="H881" s="61"/>
    </row>
    <row r="882" spans="4:8" ht="15.75" customHeight="1">
      <c r="D882" s="43"/>
      <c r="E882" s="43"/>
      <c r="H882" s="61"/>
    </row>
    <row r="883" spans="4:8" ht="15.75" customHeight="1">
      <c r="D883" s="43"/>
      <c r="E883" s="43"/>
      <c r="H883" s="61"/>
    </row>
    <row r="884" spans="4:8" ht="15.75" customHeight="1">
      <c r="D884" s="43"/>
      <c r="E884" s="43"/>
      <c r="H884" s="61"/>
    </row>
    <row r="885" spans="4:8" ht="15.75" customHeight="1">
      <c r="D885" s="43"/>
      <c r="E885" s="43"/>
      <c r="H885" s="61"/>
    </row>
    <row r="886" spans="4:8" ht="15.75" customHeight="1">
      <c r="D886" s="43"/>
      <c r="E886" s="43"/>
      <c r="H886" s="61"/>
    </row>
    <row r="887" spans="4:8" ht="15.75" customHeight="1">
      <c r="D887" s="43"/>
      <c r="E887" s="43"/>
      <c r="H887" s="61"/>
    </row>
    <row r="888" spans="4:8" ht="15.75" customHeight="1">
      <c r="D888" s="43"/>
      <c r="E888" s="43"/>
      <c r="H888" s="61"/>
    </row>
    <row r="889" spans="4:8" ht="15.75" customHeight="1">
      <c r="D889" s="43"/>
      <c r="E889" s="43"/>
      <c r="H889" s="61"/>
    </row>
    <row r="890" spans="4:8" ht="15.75" customHeight="1">
      <c r="D890" s="43"/>
      <c r="E890" s="43"/>
      <c r="H890" s="61"/>
    </row>
    <row r="891" spans="4:8" ht="15.75" customHeight="1">
      <c r="D891" s="43"/>
      <c r="E891" s="43"/>
      <c r="H891" s="61"/>
    </row>
    <row r="892" spans="4:8" ht="15.75" customHeight="1">
      <c r="D892" s="43"/>
      <c r="E892" s="43"/>
      <c r="H892" s="61"/>
    </row>
    <row r="893" spans="4:8" ht="15.75" customHeight="1">
      <c r="D893" s="43"/>
      <c r="E893" s="43"/>
      <c r="H893" s="61"/>
    </row>
    <row r="894" spans="4:8" ht="15.75" customHeight="1">
      <c r="D894" s="43"/>
      <c r="E894" s="43"/>
      <c r="H894" s="61"/>
    </row>
    <row r="895" spans="4:8" ht="15.75" customHeight="1">
      <c r="D895" s="43"/>
      <c r="E895" s="43"/>
      <c r="H895" s="61"/>
    </row>
    <row r="896" spans="4:8" ht="15.75" customHeight="1">
      <c r="D896" s="43"/>
      <c r="E896" s="43"/>
      <c r="H896" s="61"/>
    </row>
    <row r="897" spans="4:8" ht="15.75" customHeight="1">
      <c r="D897" s="43"/>
      <c r="E897" s="43"/>
      <c r="H897" s="61"/>
    </row>
    <row r="898" spans="4:8" ht="15.75" customHeight="1">
      <c r="D898" s="43"/>
      <c r="E898" s="43"/>
      <c r="H898" s="61"/>
    </row>
    <row r="899" spans="4:8" ht="15.75" customHeight="1">
      <c r="D899" s="43"/>
      <c r="E899" s="43"/>
      <c r="H899" s="61"/>
    </row>
    <row r="900" spans="4:8" ht="15.75" customHeight="1">
      <c r="D900" s="43"/>
      <c r="E900" s="43"/>
      <c r="H900" s="61"/>
    </row>
    <row r="901" spans="4:8" ht="15.75" customHeight="1">
      <c r="D901" s="43"/>
      <c r="E901" s="43"/>
      <c r="H901" s="61"/>
    </row>
    <row r="902" spans="4:8" ht="15.75" customHeight="1">
      <c r="D902" s="43"/>
      <c r="E902" s="43"/>
      <c r="H902" s="61"/>
    </row>
    <row r="903" spans="4:8" ht="15.75" customHeight="1">
      <c r="D903" s="43"/>
      <c r="E903" s="43"/>
      <c r="H903" s="61"/>
    </row>
    <row r="904" spans="4:8" ht="15.75" customHeight="1">
      <c r="D904" s="43"/>
      <c r="E904" s="43"/>
      <c r="H904" s="61"/>
    </row>
    <row r="905" spans="4:8" ht="15.75" customHeight="1">
      <c r="D905" s="43"/>
      <c r="E905" s="43"/>
      <c r="H905" s="61"/>
    </row>
    <row r="906" spans="4:8" ht="15.75" customHeight="1">
      <c r="D906" s="43"/>
      <c r="E906" s="43"/>
      <c r="H906" s="61"/>
    </row>
    <row r="907" spans="4:8" ht="15.75" customHeight="1">
      <c r="D907" s="43"/>
      <c r="E907" s="43"/>
      <c r="H907" s="61"/>
    </row>
    <row r="908" spans="4:8" ht="15.75" customHeight="1">
      <c r="D908" s="43"/>
      <c r="E908" s="43"/>
      <c r="H908" s="61"/>
    </row>
    <row r="909" spans="4:8" ht="15.75" customHeight="1">
      <c r="D909" s="43"/>
      <c r="E909" s="43"/>
      <c r="H909" s="61"/>
    </row>
    <row r="910" spans="4:8" ht="15.75" customHeight="1">
      <c r="D910" s="43"/>
      <c r="E910" s="43"/>
      <c r="H910" s="61"/>
    </row>
    <row r="911" spans="4:8" ht="15.75" customHeight="1">
      <c r="D911" s="43"/>
      <c r="E911" s="43"/>
      <c r="H911" s="61"/>
    </row>
    <row r="912" spans="4:8" ht="15.75" customHeight="1">
      <c r="D912" s="43"/>
      <c r="E912" s="43"/>
      <c r="H912" s="61"/>
    </row>
    <row r="913" spans="4:8" ht="15.75" customHeight="1">
      <c r="D913" s="43"/>
      <c r="E913" s="43"/>
      <c r="H913" s="61"/>
    </row>
    <row r="914" spans="4:8" ht="15.75" customHeight="1">
      <c r="D914" s="43"/>
      <c r="E914" s="43"/>
      <c r="H914" s="61"/>
    </row>
    <row r="915" spans="4:8" ht="15.75" customHeight="1">
      <c r="D915" s="43"/>
      <c r="E915" s="43"/>
      <c r="H915" s="61"/>
    </row>
    <row r="916" spans="4:8" ht="15.75" customHeight="1">
      <c r="D916" s="43"/>
      <c r="E916" s="43"/>
      <c r="H916" s="61"/>
    </row>
    <row r="917" spans="4:8" ht="15.75" customHeight="1">
      <c r="D917" s="43"/>
      <c r="E917" s="43"/>
      <c r="H917" s="61"/>
    </row>
    <row r="918" spans="4:8" ht="15.75" customHeight="1">
      <c r="D918" s="43"/>
      <c r="E918" s="43"/>
      <c r="H918" s="61"/>
    </row>
    <row r="919" spans="4:8" ht="15.75" customHeight="1">
      <c r="D919" s="43"/>
      <c r="E919" s="43"/>
      <c r="H919" s="61"/>
    </row>
    <row r="920" spans="4:8" ht="15.75" customHeight="1">
      <c r="D920" s="43"/>
      <c r="E920" s="43"/>
      <c r="H920" s="61"/>
    </row>
    <row r="921" spans="4:8" ht="15.75" customHeight="1">
      <c r="D921" s="43"/>
      <c r="E921" s="43"/>
      <c r="H921" s="61"/>
    </row>
    <row r="922" spans="4:8" ht="15.75" customHeight="1">
      <c r="D922" s="43"/>
      <c r="E922" s="43"/>
      <c r="H922" s="61"/>
    </row>
    <row r="923" spans="4:8" ht="15.75" customHeight="1">
      <c r="D923" s="43"/>
      <c r="E923" s="43"/>
      <c r="H923" s="61"/>
    </row>
    <row r="924" spans="4:8" ht="15.75" customHeight="1">
      <c r="D924" s="43"/>
      <c r="E924" s="43"/>
      <c r="H924" s="61"/>
    </row>
    <row r="925" spans="4:8" ht="15.75" customHeight="1">
      <c r="D925" s="43"/>
      <c r="E925" s="43"/>
      <c r="H925" s="61"/>
    </row>
    <row r="926" spans="4:8" ht="15.75" customHeight="1">
      <c r="D926" s="43"/>
      <c r="E926" s="43"/>
      <c r="H926" s="61"/>
    </row>
    <row r="927" spans="4:8" ht="15.75" customHeight="1">
      <c r="D927" s="43"/>
      <c r="E927" s="43"/>
      <c r="H927" s="61"/>
    </row>
    <row r="928" spans="4:8" ht="15.75" customHeight="1">
      <c r="D928" s="43"/>
      <c r="E928" s="43"/>
      <c r="H928" s="61"/>
    </row>
    <row r="929" spans="4:8" ht="15.75" customHeight="1">
      <c r="D929" s="43"/>
      <c r="E929" s="43"/>
      <c r="H929" s="61"/>
    </row>
    <row r="930" spans="4:8" ht="15.75" customHeight="1">
      <c r="D930" s="43"/>
      <c r="E930" s="43"/>
      <c r="H930" s="61"/>
    </row>
    <row r="931" spans="4:8" ht="15.75" customHeight="1">
      <c r="D931" s="43"/>
      <c r="E931" s="43"/>
      <c r="H931" s="61"/>
    </row>
    <row r="932" spans="4:8" ht="15.75" customHeight="1">
      <c r="D932" s="43"/>
      <c r="E932" s="43"/>
      <c r="H932" s="61"/>
    </row>
    <row r="933" spans="4:8" ht="15.75" customHeight="1">
      <c r="D933" s="43"/>
      <c r="E933" s="43"/>
      <c r="H933" s="61"/>
    </row>
    <row r="934" spans="4:8" ht="15.75" customHeight="1">
      <c r="D934" s="43"/>
      <c r="E934" s="43"/>
      <c r="H934" s="61"/>
    </row>
    <row r="935" spans="4:8" ht="15.75" customHeight="1">
      <c r="D935" s="43"/>
      <c r="E935" s="43"/>
      <c r="H935" s="61"/>
    </row>
    <row r="936" spans="4:8" ht="15.75" customHeight="1">
      <c r="D936" s="43"/>
      <c r="E936" s="43"/>
      <c r="H936" s="61"/>
    </row>
    <row r="937" spans="4:8" ht="15.75" customHeight="1">
      <c r="D937" s="43"/>
      <c r="E937" s="43"/>
      <c r="H937" s="61"/>
    </row>
    <row r="938" spans="4:8" ht="15.75" customHeight="1">
      <c r="D938" s="43"/>
      <c r="E938" s="43"/>
      <c r="H938" s="61"/>
    </row>
    <row r="939" spans="4:8" ht="15.75" customHeight="1">
      <c r="D939" s="43"/>
      <c r="E939" s="43"/>
      <c r="H939" s="61"/>
    </row>
    <row r="940" spans="4:8" ht="15.75" customHeight="1">
      <c r="D940" s="43"/>
      <c r="E940" s="43"/>
      <c r="H940" s="61"/>
    </row>
    <row r="941" spans="4:8" ht="15.75" customHeight="1">
      <c r="D941" s="43"/>
      <c r="E941" s="43"/>
      <c r="H941" s="61"/>
    </row>
    <row r="942" spans="4:8" ht="15.75" customHeight="1">
      <c r="D942" s="43"/>
      <c r="E942" s="43"/>
      <c r="H942" s="61"/>
    </row>
    <row r="943" spans="4:8" ht="15.75" customHeight="1">
      <c r="D943" s="43"/>
      <c r="E943" s="43"/>
      <c r="H943" s="61"/>
    </row>
    <row r="944" spans="4:8" ht="15.75" customHeight="1">
      <c r="D944" s="43"/>
      <c r="E944" s="43"/>
      <c r="H944" s="61"/>
    </row>
    <row r="945" spans="4:8" ht="15.75" customHeight="1">
      <c r="D945" s="43"/>
      <c r="E945" s="43"/>
      <c r="H945" s="61"/>
    </row>
    <row r="946" spans="4:8" ht="15.75" customHeight="1">
      <c r="D946" s="43"/>
      <c r="E946" s="43"/>
      <c r="H946" s="61"/>
    </row>
    <row r="947" spans="4:8" ht="15.75" customHeight="1">
      <c r="D947" s="43"/>
      <c r="E947" s="43"/>
      <c r="H947" s="61"/>
    </row>
    <row r="948" spans="4:8" ht="15.75" customHeight="1">
      <c r="D948" s="43"/>
      <c r="E948" s="43"/>
      <c r="H948" s="61"/>
    </row>
    <row r="949" spans="4:8" ht="15.75" customHeight="1">
      <c r="D949" s="43"/>
      <c r="E949" s="43"/>
      <c r="H949" s="61"/>
    </row>
    <row r="950" spans="4:8" ht="15.75" customHeight="1">
      <c r="D950" s="43"/>
      <c r="E950" s="43"/>
      <c r="H950" s="61"/>
    </row>
    <row r="951" spans="4:8" ht="15.75" customHeight="1">
      <c r="D951" s="43"/>
      <c r="E951" s="43"/>
      <c r="H951" s="61"/>
    </row>
    <row r="952" spans="4:8" ht="15.75" customHeight="1">
      <c r="D952" s="43"/>
      <c r="E952" s="43"/>
      <c r="H952" s="61"/>
    </row>
    <row r="953" spans="4:8" ht="15.75" customHeight="1">
      <c r="D953" s="43"/>
      <c r="E953" s="43"/>
      <c r="H953" s="61"/>
    </row>
    <row r="954" spans="4:8" ht="15.75" customHeight="1">
      <c r="D954" s="43"/>
      <c r="E954" s="43"/>
      <c r="H954" s="61"/>
    </row>
    <row r="955" spans="4:8" ht="15.75" customHeight="1">
      <c r="D955" s="43"/>
      <c r="E955" s="43"/>
      <c r="H955" s="61"/>
    </row>
    <row r="956" spans="4:8" ht="15.75" customHeight="1">
      <c r="D956" s="43"/>
      <c r="E956" s="43"/>
      <c r="H956" s="61"/>
    </row>
    <row r="957" spans="4:8" ht="15.75" customHeight="1">
      <c r="D957" s="43"/>
      <c r="E957" s="43"/>
      <c r="H957" s="61"/>
    </row>
    <row r="958" spans="4:8" ht="15.75" customHeight="1">
      <c r="D958" s="43"/>
      <c r="E958" s="43"/>
      <c r="H958" s="61"/>
    </row>
    <row r="959" spans="4:8" ht="15.75" customHeight="1">
      <c r="D959" s="43"/>
      <c r="E959" s="43"/>
      <c r="H959" s="61"/>
    </row>
    <row r="960" spans="4:8" ht="15.75" customHeight="1">
      <c r="D960" s="43"/>
      <c r="E960" s="43"/>
      <c r="H960" s="61"/>
    </row>
    <row r="961" spans="4:8" ht="15.75" customHeight="1">
      <c r="D961" s="43"/>
      <c r="E961" s="43"/>
      <c r="H961" s="61"/>
    </row>
    <row r="962" spans="4:8" ht="15.75" customHeight="1">
      <c r="D962" s="43"/>
      <c r="E962" s="43"/>
      <c r="H962" s="61"/>
    </row>
    <row r="963" spans="4:8" ht="15.75" customHeight="1">
      <c r="D963" s="43"/>
      <c r="E963" s="43"/>
      <c r="H963" s="61"/>
    </row>
    <row r="964" spans="4:8" ht="15.75" customHeight="1">
      <c r="D964" s="43"/>
      <c r="E964" s="43"/>
      <c r="H964" s="61"/>
    </row>
    <row r="965" spans="4:8" ht="15.75" customHeight="1">
      <c r="D965" s="43"/>
      <c r="E965" s="43"/>
      <c r="H965" s="61"/>
    </row>
    <row r="966" spans="4:8" ht="15.75" customHeight="1">
      <c r="D966" s="43"/>
      <c r="E966" s="43"/>
      <c r="H966" s="61"/>
    </row>
    <row r="967" spans="4:8" ht="15.75" customHeight="1">
      <c r="D967" s="43"/>
      <c r="E967" s="43"/>
      <c r="H967" s="61"/>
    </row>
    <row r="968" spans="4:8" ht="15.75" customHeight="1">
      <c r="D968" s="43"/>
      <c r="E968" s="43"/>
      <c r="H968" s="61"/>
    </row>
    <row r="969" spans="4:8" ht="15.75" customHeight="1">
      <c r="D969" s="43"/>
      <c r="E969" s="43"/>
      <c r="H969" s="61"/>
    </row>
    <row r="970" spans="4:8" ht="15.75" customHeight="1">
      <c r="D970" s="43"/>
      <c r="E970" s="43"/>
      <c r="H970" s="61"/>
    </row>
    <row r="971" spans="4:8" ht="15.75" customHeight="1">
      <c r="D971" s="43"/>
      <c r="E971" s="43"/>
      <c r="H971" s="61"/>
    </row>
    <row r="972" spans="4:8" ht="15.75" customHeight="1">
      <c r="D972" s="43"/>
      <c r="E972" s="43"/>
      <c r="H972" s="61"/>
    </row>
    <row r="973" spans="4:8" ht="15.75" customHeight="1">
      <c r="D973" s="43"/>
      <c r="E973" s="43"/>
      <c r="H973" s="61"/>
    </row>
    <row r="974" spans="4:8" ht="15.75" customHeight="1">
      <c r="D974" s="43"/>
      <c r="E974" s="43"/>
      <c r="H974" s="61"/>
    </row>
    <row r="975" spans="4:8" ht="15.75" customHeight="1">
      <c r="D975" s="43"/>
      <c r="E975" s="43"/>
      <c r="H975" s="61"/>
    </row>
    <row r="976" spans="4:8" ht="15.75" customHeight="1">
      <c r="D976" s="43"/>
      <c r="E976" s="43"/>
      <c r="H976" s="61"/>
    </row>
    <row r="977" spans="4:8" ht="15.75" customHeight="1">
      <c r="D977" s="43"/>
      <c r="E977" s="43"/>
      <c r="H977" s="61"/>
    </row>
    <row r="978" spans="4:8" ht="15.75" customHeight="1">
      <c r="D978" s="43"/>
      <c r="E978" s="43"/>
      <c r="H978" s="61"/>
    </row>
    <row r="979" spans="4:8" ht="15.75" customHeight="1">
      <c r="D979" s="43"/>
      <c r="E979" s="43"/>
      <c r="H979" s="61"/>
    </row>
    <row r="980" spans="4:8" ht="15.75" customHeight="1">
      <c r="D980" s="43"/>
      <c r="E980" s="43"/>
      <c r="H980" s="61"/>
    </row>
    <row r="981" spans="4:8" ht="15.75" customHeight="1">
      <c r="D981" s="43"/>
      <c r="E981" s="43"/>
      <c r="H981" s="61"/>
    </row>
    <row r="982" spans="4:8" ht="15.75" customHeight="1">
      <c r="D982" s="43"/>
      <c r="E982" s="43"/>
      <c r="H982" s="61"/>
    </row>
    <row r="983" spans="4:8" ht="15.75" customHeight="1">
      <c r="D983" s="43"/>
      <c r="E983" s="43"/>
      <c r="H983" s="61"/>
    </row>
    <row r="984" spans="4:8" ht="15.75" customHeight="1">
      <c r="D984" s="43"/>
      <c r="E984" s="43"/>
      <c r="H984" s="61"/>
    </row>
    <row r="985" spans="4:8" ht="15.75" customHeight="1">
      <c r="D985" s="43"/>
      <c r="E985" s="43"/>
      <c r="H985" s="61"/>
    </row>
    <row r="986" spans="4:8" ht="15.75" customHeight="1">
      <c r="D986" s="43"/>
      <c r="E986" s="43"/>
      <c r="H986" s="61"/>
    </row>
    <row r="987" spans="4:8" ht="15.75" customHeight="1">
      <c r="D987" s="43"/>
      <c r="E987" s="43"/>
      <c r="H987" s="61"/>
    </row>
    <row r="988" spans="4:8" ht="15.75" customHeight="1">
      <c r="D988" s="43"/>
      <c r="E988" s="43"/>
      <c r="H988" s="61"/>
    </row>
    <row r="989" spans="4:8" ht="15.75" customHeight="1">
      <c r="D989" s="43"/>
      <c r="E989" s="43"/>
      <c r="H989" s="61"/>
    </row>
    <row r="990" spans="4:8" ht="15.75" customHeight="1">
      <c r="D990" s="43"/>
      <c r="E990" s="43"/>
      <c r="H990" s="61"/>
    </row>
    <row r="991" spans="4:8" ht="15.75" customHeight="1">
      <c r="D991" s="43"/>
      <c r="E991" s="43"/>
      <c r="H991" s="61"/>
    </row>
    <row r="992" spans="4:8" ht="15.75" customHeight="1">
      <c r="D992" s="43"/>
      <c r="E992" s="43"/>
      <c r="H992" s="61"/>
    </row>
    <row r="993" spans="4:8" ht="15.75" customHeight="1">
      <c r="D993" s="43"/>
      <c r="E993" s="43"/>
      <c r="H993" s="61"/>
    </row>
    <row r="994" spans="4:8" ht="15.75" customHeight="1">
      <c r="D994" s="43"/>
      <c r="E994" s="43"/>
      <c r="H994" s="61"/>
    </row>
    <row r="995" spans="4:8" ht="15.75" customHeight="1">
      <c r="D995" s="43"/>
      <c r="E995" s="43"/>
      <c r="H995" s="61"/>
    </row>
    <row r="996" spans="4:8" ht="15.75" customHeight="1">
      <c r="D996" s="43"/>
      <c r="E996" s="43"/>
      <c r="H996" s="61"/>
    </row>
    <row r="997" spans="4:8" ht="15.75" customHeight="1">
      <c r="D997" s="43"/>
      <c r="E997" s="43"/>
      <c r="H997" s="61"/>
    </row>
    <row r="998" spans="4:8" ht="15.75" customHeight="1">
      <c r="D998" s="43"/>
      <c r="E998" s="43"/>
      <c r="H998" s="61"/>
    </row>
    <row r="999" spans="4:8" ht="15.75" customHeight="1">
      <c r="D999" s="43"/>
      <c r="E999" s="43"/>
      <c r="H999" s="61"/>
    </row>
    <row r="1000" spans="4:8" ht="15.75" customHeight="1">
      <c r="D1000" s="43"/>
      <c r="E1000" s="43"/>
      <c r="H1000" s="61"/>
    </row>
    <row r="1001" spans="4:8" ht="15.75" customHeight="1">
      <c r="D1001" s="43"/>
      <c r="E1001" s="43"/>
      <c r="H1001" s="61"/>
    </row>
    <row r="1002" spans="4:8" ht="15.75" customHeight="1">
      <c r="D1002" s="43"/>
      <c r="E1002" s="43"/>
      <c r="H1002" s="61"/>
    </row>
    <row r="1003" spans="4:8" ht="15.75" customHeight="1">
      <c r="D1003" s="43"/>
      <c r="E1003" s="43"/>
      <c r="H1003" s="61"/>
    </row>
    <row r="1004" spans="4:8" ht="15.75" customHeight="1">
      <c r="D1004" s="43"/>
      <c r="E1004" s="43"/>
      <c r="H1004" s="61"/>
    </row>
    <row r="1005" spans="4:8" ht="15.75" customHeight="1">
      <c r="D1005" s="43"/>
      <c r="E1005" s="43"/>
      <c r="H1005" s="61"/>
    </row>
    <row r="1006" spans="4:8" ht="15.75" customHeight="1">
      <c r="D1006" s="43"/>
      <c r="E1006" s="43"/>
      <c r="H1006" s="61"/>
    </row>
    <row r="1007" spans="4:8" ht="15.75" customHeight="1">
      <c r="D1007" s="43"/>
      <c r="E1007" s="43"/>
      <c r="H1007" s="61"/>
    </row>
    <row r="1008" spans="4:8" ht="15.75" customHeight="1">
      <c r="D1008" s="43"/>
      <c r="E1008" s="43"/>
      <c r="H1008" s="61"/>
    </row>
    <row r="1009" spans="4:8" ht="15.75" customHeight="1">
      <c r="D1009" s="43"/>
      <c r="E1009" s="43"/>
      <c r="H1009" s="61"/>
    </row>
    <row r="1010" spans="4:8" ht="15.75" customHeight="1">
      <c r="D1010" s="43"/>
      <c r="E1010" s="43"/>
      <c r="H1010" s="61"/>
    </row>
    <row r="1011" spans="4:8" ht="15.75" customHeight="1">
      <c r="D1011" s="43"/>
      <c r="E1011" s="43"/>
      <c r="H1011" s="61"/>
    </row>
    <row r="1012" spans="4:8" ht="15.75" customHeight="1">
      <c r="D1012" s="43"/>
      <c r="E1012" s="43"/>
      <c r="H1012" s="61"/>
    </row>
    <row r="1013" spans="4:8" ht="15.75" customHeight="1">
      <c r="D1013" s="43"/>
      <c r="E1013" s="43"/>
      <c r="H1013" s="61"/>
    </row>
    <row r="1014" spans="4:8" ht="15.75" customHeight="1">
      <c r="D1014" s="43"/>
      <c r="E1014" s="43"/>
      <c r="H1014" s="61"/>
    </row>
    <row r="1015" spans="4:8" ht="15.75" customHeight="1">
      <c r="D1015" s="43"/>
      <c r="E1015" s="43"/>
      <c r="H1015" s="61"/>
    </row>
    <row r="1016" spans="4:8" ht="15.75" customHeight="1">
      <c r="D1016" s="43"/>
      <c r="E1016" s="43"/>
      <c r="H1016" s="61"/>
    </row>
    <row r="1017" spans="4:8" ht="15.75" customHeight="1">
      <c r="D1017" s="43"/>
      <c r="E1017" s="43"/>
      <c r="H1017" s="61"/>
    </row>
    <row r="1018" spans="4:8" ht="15.75" customHeight="1">
      <c r="D1018" s="43"/>
      <c r="E1018" s="43"/>
      <c r="H1018" s="61"/>
    </row>
    <row r="1019" spans="4:8" ht="15.75" customHeight="1">
      <c r="D1019" s="43"/>
      <c r="E1019" s="43"/>
      <c r="H1019" s="61"/>
    </row>
    <row r="1020" spans="4:8" ht="15.75" customHeight="1">
      <c r="D1020" s="43"/>
      <c r="E1020" s="43"/>
      <c r="H1020" s="61"/>
    </row>
    <row r="1021" spans="4:8" ht="15.75" customHeight="1">
      <c r="D1021" s="43"/>
      <c r="E1021" s="43"/>
      <c r="H1021" s="61"/>
    </row>
    <row r="1022" spans="4:8" ht="15.75" customHeight="1">
      <c r="D1022" s="43"/>
      <c r="E1022" s="43"/>
      <c r="H1022" s="61"/>
    </row>
    <row r="1023" spans="4:8" ht="15.75" customHeight="1">
      <c r="D1023" s="43"/>
      <c r="E1023" s="43"/>
      <c r="H1023" s="61"/>
    </row>
    <row r="1024" spans="4:8" ht="15.75" customHeight="1">
      <c r="D1024" s="43"/>
      <c r="E1024" s="43"/>
      <c r="H1024" s="61"/>
    </row>
    <row r="1025" spans="4:8" ht="15.75" customHeight="1">
      <c r="D1025" s="43"/>
      <c r="E1025" s="43"/>
      <c r="H1025" s="61"/>
    </row>
    <row r="1026" spans="4:8" ht="15.75" customHeight="1">
      <c r="D1026" s="43"/>
      <c r="E1026" s="43"/>
      <c r="H1026" s="61"/>
    </row>
    <row r="1027" spans="4:8" ht="15.75" customHeight="1">
      <c r="D1027" s="43"/>
      <c r="E1027" s="43"/>
      <c r="H1027" s="61"/>
    </row>
    <row r="1028" spans="4:8" ht="15.75" customHeight="1">
      <c r="D1028" s="43"/>
      <c r="E1028" s="43"/>
      <c r="H1028" s="61"/>
    </row>
    <row r="1029" spans="4:8" ht="15.75" customHeight="1">
      <c r="D1029" s="43"/>
      <c r="E1029" s="43"/>
      <c r="H1029" s="61"/>
    </row>
    <row r="1030" spans="4:8" ht="15.75" customHeight="1">
      <c r="D1030" s="43"/>
      <c r="E1030" s="43"/>
      <c r="H1030" s="61"/>
    </row>
    <row r="1031" spans="4:8" ht="15.75" customHeight="1">
      <c r="D1031" s="43"/>
      <c r="E1031" s="43"/>
      <c r="H1031" s="61"/>
    </row>
    <row r="1032" spans="4:8" ht="15.75" customHeight="1">
      <c r="D1032" s="43"/>
      <c r="E1032" s="43"/>
      <c r="H1032" s="61"/>
    </row>
    <row r="1033" spans="4:8" ht="15.75" customHeight="1">
      <c r="D1033" s="43"/>
      <c r="E1033" s="43"/>
      <c r="H1033" s="61"/>
    </row>
    <row r="1034" spans="4:8" ht="15.75" customHeight="1">
      <c r="D1034" s="43"/>
      <c r="E1034" s="43"/>
      <c r="H1034" s="61"/>
    </row>
    <row r="1035" spans="4:8" ht="15.75" customHeight="1">
      <c r="D1035" s="43"/>
      <c r="E1035" s="43"/>
      <c r="H1035" s="61"/>
    </row>
    <row r="1036" spans="4:8" ht="15.75" customHeight="1">
      <c r="D1036" s="43"/>
      <c r="E1036" s="43"/>
      <c r="H1036" s="61"/>
    </row>
    <row r="1037" spans="4:8" ht="15.75" customHeight="1">
      <c r="D1037" s="43"/>
      <c r="E1037" s="43"/>
      <c r="H1037" s="61"/>
    </row>
    <row r="1038" spans="4:8" ht="15.75" customHeight="1">
      <c r="D1038" s="43"/>
      <c r="E1038" s="43"/>
      <c r="H1038" s="61"/>
    </row>
    <row r="1039" spans="4:8" ht="15.75" customHeight="1">
      <c r="D1039" s="43"/>
      <c r="E1039" s="43"/>
      <c r="H1039" s="61"/>
    </row>
    <row r="1040" spans="4:8" ht="15.75" customHeight="1">
      <c r="D1040" s="43"/>
      <c r="E1040" s="43"/>
      <c r="H1040" s="61"/>
    </row>
    <row r="1041" spans="4:8" ht="15.75" customHeight="1">
      <c r="D1041" s="43"/>
      <c r="E1041" s="43"/>
      <c r="H1041" s="61"/>
    </row>
    <row r="1042" spans="4:8" ht="15.75" customHeight="1">
      <c r="D1042" s="43"/>
      <c r="E1042" s="43"/>
      <c r="H1042" s="61"/>
    </row>
    <row r="1043" spans="4:8" ht="15.75" customHeight="1">
      <c r="D1043" s="43"/>
      <c r="E1043" s="43"/>
      <c r="H1043" s="61"/>
    </row>
    <row r="1044" spans="4:8" ht="15.75" customHeight="1">
      <c r="D1044" s="43"/>
      <c r="E1044" s="43"/>
      <c r="H1044" s="61"/>
    </row>
    <row r="1045" spans="4:8" ht="15.75" customHeight="1">
      <c r="D1045" s="43"/>
      <c r="E1045" s="43"/>
      <c r="H1045" s="61"/>
    </row>
    <row r="1046" spans="4:8" ht="15.75" customHeight="1">
      <c r="D1046" s="43"/>
      <c r="E1046" s="43"/>
      <c r="H1046" s="61"/>
    </row>
    <row r="1047" spans="4:8" ht="15.75" customHeight="1">
      <c r="D1047" s="43"/>
      <c r="E1047" s="43"/>
      <c r="H1047" s="61"/>
    </row>
    <row r="1048" spans="4:8" ht="15.75" customHeight="1">
      <c r="D1048" s="43"/>
      <c r="E1048" s="43"/>
      <c r="H1048" s="61"/>
    </row>
    <row r="1049" spans="4:8" ht="15.75" customHeight="1">
      <c r="D1049" s="43"/>
      <c r="E1049" s="43"/>
      <c r="H1049" s="61"/>
    </row>
    <row r="1050" spans="4:8" ht="15.75" customHeight="1">
      <c r="D1050" s="43"/>
      <c r="E1050" s="43"/>
      <c r="H1050" s="61"/>
    </row>
    <row r="1051" spans="4:8" ht="15.75" customHeight="1">
      <c r="D1051" s="43"/>
      <c r="E1051" s="43"/>
      <c r="H1051" s="61"/>
    </row>
    <row r="1052" spans="4:8" ht="15.75" customHeight="1">
      <c r="D1052" s="43"/>
      <c r="E1052" s="43"/>
      <c r="H1052" s="61"/>
    </row>
    <row r="1053" spans="4:8" ht="15.75" customHeight="1">
      <c r="D1053" s="43"/>
      <c r="E1053" s="43"/>
      <c r="H1053" s="61"/>
    </row>
    <row r="1054" spans="4:8" ht="15.75" customHeight="1">
      <c r="D1054" s="43"/>
      <c r="E1054" s="43"/>
      <c r="H1054" s="61"/>
    </row>
    <row r="1055" spans="4:8" ht="15.75" customHeight="1">
      <c r="D1055" s="43"/>
      <c r="E1055" s="43"/>
      <c r="H1055" s="61"/>
    </row>
    <row r="1056" spans="4:8" ht="15.75" customHeight="1">
      <c r="D1056" s="43"/>
      <c r="E1056" s="43"/>
      <c r="H1056" s="61"/>
    </row>
    <row r="1057" spans="4:8" ht="15.75" customHeight="1">
      <c r="D1057" s="43"/>
      <c r="E1057" s="43"/>
      <c r="H1057" s="61"/>
    </row>
    <row r="1058" spans="4:8" ht="15.75" customHeight="1">
      <c r="D1058" s="43"/>
      <c r="E1058" s="43"/>
      <c r="H1058" s="61"/>
    </row>
    <row r="1059" spans="4:8" ht="15.75" customHeight="1">
      <c r="D1059" s="43"/>
      <c r="E1059" s="43"/>
      <c r="H1059" s="61"/>
    </row>
    <row r="1060" spans="4:8" ht="15.75" customHeight="1">
      <c r="D1060" s="43"/>
      <c r="E1060" s="43"/>
      <c r="H1060" s="61"/>
    </row>
    <row r="1061" spans="4:8" ht="15.75" customHeight="1">
      <c r="D1061" s="43"/>
      <c r="E1061" s="43"/>
      <c r="H1061" s="61"/>
    </row>
    <row r="1062" spans="4:8" ht="15.75" customHeight="1">
      <c r="D1062" s="43"/>
      <c r="E1062" s="43"/>
      <c r="H1062" s="61"/>
    </row>
    <row r="1063" spans="4:8" ht="15.75" customHeight="1">
      <c r="D1063" s="43"/>
      <c r="E1063" s="43"/>
      <c r="H1063" s="61"/>
    </row>
    <row r="1064" spans="4:8" ht="15.75" customHeight="1">
      <c r="D1064" s="43"/>
      <c r="E1064" s="43"/>
      <c r="H1064" s="61"/>
    </row>
    <row r="1065" spans="4:8" ht="15.75" customHeight="1">
      <c r="D1065" s="43"/>
      <c r="E1065" s="43"/>
      <c r="H1065" s="61"/>
    </row>
    <row r="1066" spans="4:8" ht="15.75" customHeight="1">
      <c r="D1066" s="43"/>
      <c r="E1066" s="43"/>
      <c r="H1066" s="61"/>
    </row>
    <row r="1067" spans="4:8" ht="15.75" customHeight="1">
      <c r="D1067" s="43"/>
      <c r="E1067" s="43"/>
      <c r="H1067" s="61"/>
    </row>
    <row r="1068" spans="4:8" ht="15.75" customHeight="1">
      <c r="D1068" s="43"/>
      <c r="E1068" s="43"/>
      <c r="H1068" s="61"/>
    </row>
    <row r="1069" spans="4:8" ht="15.75" customHeight="1">
      <c r="D1069" s="43"/>
      <c r="E1069" s="43"/>
      <c r="H1069" s="61"/>
    </row>
    <row r="1070" spans="4:8" ht="15.75" customHeight="1">
      <c r="D1070" s="43"/>
      <c r="E1070" s="43"/>
      <c r="H1070" s="61"/>
    </row>
    <row r="1071" spans="4:8" ht="15.75" customHeight="1">
      <c r="D1071" s="43"/>
      <c r="E1071" s="43"/>
      <c r="H1071" s="61"/>
    </row>
    <row r="1072" spans="4:8" ht="15.75" customHeight="1">
      <c r="D1072" s="43"/>
      <c r="E1072" s="43"/>
      <c r="H1072" s="61"/>
    </row>
    <row r="1073" spans="4:8" ht="15.75" customHeight="1">
      <c r="D1073" s="43"/>
      <c r="E1073" s="43"/>
      <c r="H1073" s="61"/>
    </row>
    <row r="1074" spans="4:8" ht="15.75" customHeight="1">
      <c r="D1074" s="43"/>
      <c r="E1074" s="43"/>
      <c r="H1074" s="61"/>
    </row>
    <row r="1075" spans="4:8" ht="15.75" customHeight="1">
      <c r="D1075" s="43"/>
      <c r="E1075" s="43"/>
      <c r="H1075" s="61"/>
    </row>
    <row r="1076" spans="4:8" ht="15.75" customHeight="1">
      <c r="D1076" s="43"/>
      <c r="E1076" s="43"/>
      <c r="H1076" s="61"/>
    </row>
    <row r="1077" spans="4:8" ht="15.75" customHeight="1">
      <c r="D1077" s="43"/>
      <c r="E1077" s="43"/>
      <c r="H1077" s="61"/>
    </row>
    <row r="1078" spans="4:8" ht="15.75" customHeight="1">
      <c r="D1078" s="43"/>
      <c r="E1078" s="43"/>
      <c r="H1078" s="61"/>
    </row>
    <row r="1079" spans="4:8" ht="15.75" customHeight="1">
      <c r="D1079" s="43"/>
      <c r="E1079" s="43"/>
      <c r="H1079" s="61"/>
    </row>
    <row r="1080" spans="4:8" ht="15.75" customHeight="1">
      <c r="D1080" s="43"/>
      <c r="E1080" s="43"/>
      <c r="H1080" s="61"/>
    </row>
    <row r="1081" spans="4:8" ht="15.75" customHeight="1">
      <c r="D1081" s="43"/>
      <c r="E1081" s="43"/>
      <c r="H1081" s="61"/>
    </row>
    <row r="1082" spans="4:8" ht="15.75" customHeight="1">
      <c r="D1082" s="43"/>
      <c r="E1082" s="43"/>
      <c r="H1082" s="61"/>
    </row>
    <row r="1083" spans="4:8" ht="15.75" customHeight="1">
      <c r="D1083" s="43"/>
      <c r="E1083" s="43"/>
      <c r="H1083" s="61"/>
    </row>
    <row r="1084" spans="4:8" ht="15.75" customHeight="1">
      <c r="D1084" s="43"/>
      <c r="E1084" s="43"/>
      <c r="H1084" s="61"/>
    </row>
    <row r="1085" spans="4:8" ht="15.75" customHeight="1">
      <c r="D1085" s="43"/>
      <c r="E1085" s="43"/>
      <c r="H1085" s="61"/>
    </row>
    <row r="1086" spans="4:8" ht="15.75" customHeight="1">
      <c r="D1086" s="43"/>
      <c r="E1086" s="43"/>
      <c r="H1086" s="61"/>
    </row>
    <row r="1087" spans="4:8" ht="15.75" customHeight="1">
      <c r="D1087" s="43"/>
      <c r="E1087" s="43"/>
      <c r="H1087" s="61"/>
    </row>
    <row r="1088" spans="4:8" ht="15.75" customHeight="1">
      <c r="D1088" s="43"/>
      <c r="E1088" s="43"/>
      <c r="H1088" s="61"/>
    </row>
    <row r="1089" spans="4:8" ht="15.75" customHeight="1">
      <c r="D1089" s="43"/>
      <c r="E1089" s="43"/>
      <c r="H1089" s="61"/>
    </row>
    <row r="1090" spans="4:8" ht="15.75" customHeight="1">
      <c r="D1090" s="43"/>
      <c r="E1090" s="43"/>
      <c r="H1090" s="61"/>
    </row>
    <row r="1091" spans="4:8" ht="15.75" customHeight="1">
      <c r="D1091" s="43"/>
      <c r="E1091" s="43"/>
      <c r="H1091" s="61"/>
    </row>
    <row r="1092" spans="4:8" ht="15.75" customHeight="1">
      <c r="D1092" s="43"/>
      <c r="E1092" s="43"/>
      <c r="H1092" s="61"/>
    </row>
    <row r="1093" spans="4:8" ht="15.75" customHeight="1">
      <c r="D1093" s="43"/>
      <c r="E1093" s="43"/>
      <c r="H1093" s="61"/>
    </row>
    <row r="1094" spans="4:8" ht="15.75" customHeight="1">
      <c r="D1094" s="43"/>
      <c r="E1094" s="43"/>
      <c r="H1094" s="61"/>
    </row>
    <row r="1095" spans="4:8" ht="15.75" customHeight="1">
      <c r="D1095" s="43"/>
      <c r="E1095" s="43"/>
      <c r="H1095" s="61"/>
    </row>
    <row r="1096" spans="4:8" ht="15.75" customHeight="1">
      <c r="D1096" s="43"/>
      <c r="E1096" s="43"/>
      <c r="H1096" s="61"/>
    </row>
    <row r="1097" spans="4:8" ht="15.75" customHeight="1">
      <c r="D1097" s="43"/>
      <c r="E1097" s="43"/>
      <c r="H1097" s="61"/>
    </row>
    <row r="1098" spans="4:8" ht="15.75" customHeight="1">
      <c r="D1098" s="43"/>
      <c r="E1098" s="43"/>
      <c r="H1098" s="61"/>
    </row>
    <row r="1099" spans="4:8" ht="15.75" customHeight="1">
      <c r="D1099" s="43"/>
      <c r="E1099" s="43"/>
      <c r="H1099" s="61"/>
    </row>
    <row r="1100" spans="4:8" ht="15.75" customHeight="1">
      <c r="D1100" s="43"/>
      <c r="E1100" s="43"/>
      <c r="H1100" s="61"/>
    </row>
    <row r="1101" spans="4:8" ht="15.75" customHeight="1">
      <c r="D1101" s="43"/>
      <c r="E1101" s="43"/>
      <c r="H1101" s="61"/>
    </row>
    <row r="1102" spans="4:8" ht="15.75" customHeight="1">
      <c r="D1102" s="43"/>
      <c r="E1102" s="43"/>
      <c r="H1102" s="61"/>
    </row>
    <row r="1103" spans="4:8" ht="15.75" customHeight="1">
      <c r="D1103" s="43"/>
      <c r="E1103" s="43"/>
      <c r="H1103" s="61"/>
    </row>
    <row r="1104" spans="4:8" ht="15.75" customHeight="1">
      <c r="D1104" s="43"/>
      <c r="E1104" s="43"/>
      <c r="H1104" s="61"/>
    </row>
    <row r="1105" spans="4:8" ht="15.75" customHeight="1">
      <c r="D1105" s="43"/>
      <c r="E1105" s="43"/>
      <c r="H1105" s="61"/>
    </row>
    <row r="1106" spans="4:8" ht="15.75" customHeight="1">
      <c r="D1106" s="43"/>
      <c r="E1106" s="43"/>
      <c r="H1106" s="61"/>
    </row>
    <row r="1107" spans="4:8" ht="15.75" customHeight="1">
      <c r="D1107" s="43"/>
      <c r="E1107" s="43"/>
      <c r="H1107" s="61"/>
    </row>
    <row r="1108" spans="4:8" ht="15.75" customHeight="1">
      <c r="D1108" s="43"/>
      <c r="E1108" s="43"/>
      <c r="H1108" s="61"/>
    </row>
    <row r="1109" spans="4:8" ht="15.75" customHeight="1">
      <c r="D1109" s="43"/>
      <c r="E1109" s="43"/>
      <c r="H1109" s="61"/>
    </row>
    <row r="1110" spans="4:8" ht="15.75" customHeight="1">
      <c r="D1110" s="43"/>
      <c r="E1110" s="43"/>
      <c r="H1110" s="61"/>
    </row>
    <row r="1111" spans="4:8" ht="15.75" customHeight="1">
      <c r="D1111" s="43"/>
      <c r="E1111" s="43"/>
      <c r="H1111" s="61"/>
    </row>
    <row r="1112" spans="4:8" ht="15.75" customHeight="1">
      <c r="D1112" s="43"/>
      <c r="E1112" s="43"/>
      <c r="H1112" s="61"/>
    </row>
    <row r="1113" spans="4:8" ht="15.75" customHeight="1">
      <c r="D1113" s="43"/>
      <c r="E1113" s="43"/>
      <c r="H1113" s="61"/>
    </row>
  </sheetData>
  <mergeCells count="2">
    <mergeCell ref="S1:T1"/>
    <mergeCell ref="F63:G6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S1113"/>
  <sheetViews>
    <sheetView workbookViewId="0"/>
  </sheetViews>
  <sheetFormatPr defaultColWidth="12.59765625" defaultRowHeight="15.75" customHeight="1"/>
  <cols>
    <col min="4" max="4" width="17.1328125" customWidth="1"/>
    <col min="6" max="6" width="35" customWidth="1"/>
    <col min="7" max="7" width="28.265625" customWidth="1"/>
    <col min="11" max="11" width="25.265625" customWidth="1"/>
    <col min="12" max="12" width="23.73046875" customWidth="1"/>
  </cols>
  <sheetData>
    <row r="1" spans="1:15" ht="15.75" customHeight="1">
      <c r="A1" s="41"/>
      <c r="B1" s="41" t="s">
        <v>45</v>
      </c>
      <c r="C1" s="41" t="s">
        <v>0</v>
      </c>
      <c r="D1" s="42" t="s">
        <v>46</v>
      </c>
      <c r="E1" s="41" t="s">
        <v>305</v>
      </c>
      <c r="F1" s="41" t="s">
        <v>306</v>
      </c>
      <c r="G1" s="41" t="s">
        <v>307</v>
      </c>
      <c r="H1" s="41" t="s">
        <v>50</v>
      </c>
      <c r="I1" s="41" t="s">
        <v>51</v>
      </c>
      <c r="J1" s="41" t="s">
        <v>56</v>
      </c>
      <c r="K1" s="45" t="s">
        <v>308</v>
      </c>
      <c r="L1" s="45" t="s">
        <v>309</v>
      </c>
      <c r="M1" s="41"/>
      <c r="N1" s="41" t="s">
        <v>54</v>
      </c>
      <c r="O1" s="43"/>
    </row>
    <row r="2" spans="1:15" ht="15.75" customHeight="1">
      <c r="A2" s="41" t="s">
        <v>191</v>
      </c>
      <c r="B2" s="43" t="s">
        <v>142</v>
      </c>
      <c r="C2" s="43" t="s">
        <v>192</v>
      </c>
      <c r="D2" s="43" t="s">
        <v>310</v>
      </c>
      <c r="E2" s="43" t="s">
        <v>192</v>
      </c>
      <c r="F2" s="43" t="s">
        <v>193</v>
      </c>
      <c r="G2" s="43" t="s">
        <v>194</v>
      </c>
      <c r="H2" s="43"/>
      <c r="I2" s="43"/>
      <c r="J2" s="43" t="s">
        <v>311</v>
      </c>
      <c r="K2" s="46">
        <v>7500000</v>
      </c>
      <c r="L2" s="46">
        <v>11000000</v>
      </c>
      <c r="M2" s="43"/>
      <c r="N2" s="43"/>
      <c r="O2" s="43"/>
    </row>
    <row r="3" spans="1:15" ht="15.75" customHeight="1">
      <c r="A3" s="41"/>
      <c r="B3" s="43" t="s">
        <v>142</v>
      </c>
      <c r="C3" s="43" t="s">
        <v>201</v>
      </c>
      <c r="D3" s="43" t="s">
        <v>249</v>
      </c>
      <c r="E3" s="43"/>
      <c r="F3" s="43" t="s">
        <v>312</v>
      </c>
      <c r="G3" s="43" t="s">
        <v>313</v>
      </c>
      <c r="H3" s="43"/>
      <c r="I3" s="43"/>
      <c r="J3" s="43" t="s">
        <v>314</v>
      </c>
      <c r="K3" s="46">
        <v>5500000</v>
      </c>
      <c r="L3" s="46">
        <v>7000000</v>
      </c>
      <c r="M3" s="43"/>
      <c r="N3" s="43"/>
      <c r="O3" s="43"/>
    </row>
    <row r="4" spans="1:15" ht="15.75" customHeight="1">
      <c r="A4" s="41"/>
      <c r="B4" s="43" t="s">
        <v>142</v>
      </c>
      <c r="C4" s="43" t="s">
        <v>192</v>
      </c>
      <c r="D4" s="44" t="s">
        <v>65</v>
      </c>
      <c r="E4" s="43" t="s">
        <v>192</v>
      </c>
      <c r="F4" s="43" t="s">
        <v>197</v>
      </c>
      <c r="G4" s="43" t="s">
        <v>315</v>
      </c>
      <c r="H4" s="43"/>
      <c r="I4" s="43" t="s">
        <v>316</v>
      </c>
      <c r="J4" s="43" t="s">
        <v>311</v>
      </c>
      <c r="K4" s="46">
        <v>1000000</v>
      </c>
      <c r="L4" s="46">
        <v>1000000</v>
      </c>
      <c r="M4" s="43"/>
      <c r="N4" s="43"/>
      <c r="O4" s="43"/>
    </row>
    <row r="5" spans="1:15" ht="15.75" customHeight="1">
      <c r="A5" s="41"/>
      <c r="B5" s="43"/>
      <c r="C5" s="43"/>
      <c r="D5" s="22"/>
      <c r="E5" s="43"/>
      <c r="F5" s="43"/>
      <c r="G5" s="43"/>
      <c r="H5" s="43"/>
      <c r="I5" s="43" t="s">
        <v>317</v>
      </c>
      <c r="J5" s="43" t="s">
        <v>311</v>
      </c>
      <c r="K5" s="46">
        <v>2000000</v>
      </c>
      <c r="L5" s="46">
        <v>2000000</v>
      </c>
      <c r="M5" s="43"/>
      <c r="N5" s="43"/>
      <c r="O5" s="43"/>
    </row>
    <row r="6" spans="1:15" ht="15.75" customHeight="1">
      <c r="A6" s="41"/>
      <c r="B6" s="43" t="s">
        <v>142</v>
      </c>
      <c r="C6" s="43" t="s">
        <v>201</v>
      </c>
      <c r="D6" s="22" t="s">
        <v>249</v>
      </c>
      <c r="E6" s="43"/>
      <c r="F6" s="43" t="s">
        <v>199</v>
      </c>
      <c r="G6" s="43" t="s">
        <v>200</v>
      </c>
      <c r="H6" s="43"/>
      <c r="I6" s="43"/>
      <c r="J6" s="43" t="s">
        <v>318</v>
      </c>
      <c r="K6" s="46">
        <v>22000</v>
      </c>
      <c r="L6" s="46"/>
      <c r="M6" s="43"/>
      <c r="N6" s="43"/>
      <c r="O6" s="43"/>
    </row>
    <row r="7" spans="1:15" ht="15.75" customHeight="1">
      <c r="A7" s="41"/>
      <c r="B7" s="43"/>
      <c r="C7" s="43"/>
      <c r="D7" s="53"/>
      <c r="E7" s="43"/>
      <c r="F7" s="43"/>
      <c r="G7" s="43"/>
      <c r="H7" s="43"/>
      <c r="I7" s="43"/>
      <c r="J7" s="43" t="s">
        <v>319</v>
      </c>
      <c r="K7" s="46"/>
      <c r="L7" s="46">
        <v>2500000</v>
      </c>
      <c r="M7" s="43" t="s">
        <v>320</v>
      </c>
      <c r="N7" s="43" t="s">
        <v>321</v>
      </c>
      <c r="O7" s="43"/>
    </row>
    <row r="8" spans="1:15" ht="15.75" customHeight="1">
      <c r="A8" s="41"/>
      <c r="B8" s="43"/>
      <c r="C8" s="43"/>
      <c r="D8" s="43"/>
      <c r="E8" s="43"/>
      <c r="F8" s="43"/>
      <c r="G8" s="43"/>
      <c r="H8" s="43"/>
      <c r="I8" s="43"/>
      <c r="J8" s="43" t="s">
        <v>319</v>
      </c>
      <c r="K8" s="46"/>
      <c r="L8" s="46">
        <v>3500000</v>
      </c>
      <c r="M8" s="43" t="s">
        <v>322</v>
      </c>
      <c r="N8" s="43"/>
      <c r="O8" s="43"/>
    </row>
    <row r="9" spans="1:15" ht="15.75" customHeight="1">
      <c r="A9" s="41"/>
      <c r="B9" s="43" t="s">
        <v>142</v>
      </c>
      <c r="C9" s="43" t="s">
        <v>201</v>
      </c>
      <c r="D9" s="22" t="s">
        <v>249</v>
      </c>
      <c r="E9" s="43" t="s">
        <v>323</v>
      </c>
      <c r="F9" s="43" t="s">
        <v>202</v>
      </c>
      <c r="G9" s="43" t="s">
        <v>203</v>
      </c>
      <c r="H9" s="43"/>
      <c r="I9" s="43" t="s">
        <v>324</v>
      </c>
      <c r="J9" s="43" t="s">
        <v>314</v>
      </c>
      <c r="K9" s="46">
        <v>8000000</v>
      </c>
      <c r="L9" s="46">
        <v>5000000</v>
      </c>
      <c r="M9" s="43"/>
      <c r="N9" s="43"/>
      <c r="O9" s="43"/>
    </row>
    <row r="10" spans="1:15" ht="15.75" customHeight="1">
      <c r="A10" s="41"/>
      <c r="B10" s="43"/>
      <c r="C10" s="43"/>
      <c r="D10" s="43"/>
      <c r="E10" s="43"/>
      <c r="F10" s="43"/>
      <c r="G10" s="43"/>
      <c r="H10" s="43"/>
      <c r="I10" s="43" t="s">
        <v>325</v>
      </c>
      <c r="J10" s="43" t="s">
        <v>314</v>
      </c>
      <c r="K10" s="46">
        <v>5000000</v>
      </c>
      <c r="L10" s="46"/>
      <c r="M10" s="43"/>
      <c r="N10" s="43"/>
      <c r="O10" s="43"/>
    </row>
    <row r="11" spans="1:15" ht="15.75" customHeight="1">
      <c r="A11" s="41"/>
      <c r="B11" s="43" t="s">
        <v>142</v>
      </c>
      <c r="C11" s="43" t="s">
        <v>201</v>
      </c>
      <c r="D11" s="22" t="s">
        <v>249</v>
      </c>
      <c r="E11" s="43" t="s">
        <v>323</v>
      </c>
      <c r="F11" s="43" t="s">
        <v>204</v>
      </c>
      <c r="G11" s="43" t="s">
        <v>205</v>
      </c>
      <c r="H11" s="43"/>
      <c r="I11" s="43"/>
      <c r="J11" s="43" t="s">
        <v>326</v>
      </c>
      <c r="K11" s="46">
        <v>100000</v>
      </c>
      <c r="L11" s="46">
        <v>100000</v>
      </c>
      <c r="M11" s="43"/>
      <c r="N11" s="43"/>
      <c r="O11" s="43"/>
    </row>
    <row r="12" spans="1:15" ht="15.75" customHeight="1">
      <c r="A12" s="41"/>
      <c r="B12" s="43" t="s">
        <v>142</v>
      </c>
      <c r="C12" s="43" t="s">
        <v>201</v>
      </c>
      <c r="D12" s="22" t="s">
        <v>249</v>
      </c>
      <c r="E12" s="43"/>
      <c r="F12" s="43" t="s">
        <v>327</v>
      </c>
      <c r="G12" s="43" t="s">
        <v>207</v>
      </c>
      <c r="H12" s="43" t="s">
        <v>328</v>
      </c>
      <c r="I12" s="43"/>
      <c r="J12" s="43" t="s">
        <v>314</v>
      </c>
      <c r="K12" s="46">
        <v>9000000</v>
      </c>
      <c r="L12" s="46">
        <v>9000000</v>
      </c>
      <c r="M12" s="43"/>
      <c r="N12" s="43"/>
      <c r="O12" s="43"/>
    </row>
    <row r="13" spans="1:15" ht="15.75" customHeight="1">
      <c r="A13" s="41"/>
      <c r="B13" s="43"/>
      <c r="C13" s="43"/>
      <c r="D13" s="43"/>
      <c r="E13" s="43"/>
      <c r="F13" s="43"/>
      <c r="G13" s="43"/>
      <c r="H13" s="43" t="s">
        <v>329</v>
      </c>
      <c r="I13" s="43"/>
      <c r="J13" s="43" t="s">
        <v>314</v>
      </c>
      <c r="K13" s="46"/>
      <c r="L13" s="46"/>
      <c r="M13" s="43"/>
      <c r="N13" s="43"/>
      <c r="O13" s="43"/>
    </row>
    <row r="14" spans="1:15" ht="15.75" customHeight="1">
      <c r="A14" s="41"/>
      <c r="B14" s="43"/>
      <c r="C14" s="43"/>
      <c r="D14" s="43"/>
      <c r="E14" s="43"/>
      <c r="F14" s="43"/>
      <c r="G14" s="43"/>
      <c r="H14" s="43" t="s">
        <v>330</v>
      </c>
      <c r="I14" s="43"/>
      <c r="J14" s="43" t="s">
        <v>314</v>
      </c>
      <c r="K14" s="46"/>
      <c r="L14" s="46"/>
      <c r="M14" s="43"/>
      <c r="N14" s="43"/>
      <c r="O14" s="43"/>
    </row>
    <row r="15" spans="1:15" ht="15.75" customHeight="1">
      <c r="A15" s="41"/>
      <c r="B15" s="43"/>
      <c r="C15" s="43"/>
      <c r="D15" s="43"/>
      <c r="E15" s="43"/>
      <c r="F15" s="43"/>
      <c r="G15" s="43"/>
      <c r="H15" s="43" t="s">
        <v>331</v>
      </c>
      <c r="I15" s="43"/>
      <c r="J15" s="43" t="s">
        <v>314</v>
      </c>
      <c r="K15" s="46"/>
      <c r="L15" s="46"/>
      <c r="M15" s="43"/>
      <c r="N15" s="43"/>
      <c r="O15" s="43"/>
    </row>
    <row r="16" spans="1:15" ht="15.75" customHeight="1">
      <c r="A16" s="41"/>
      <c r="B16" s="43" t="s">
        <v>142</v>
      </c>
      <c r="C16" s="43" t="s">
        <v>201</v>
      </c>
      <c r="D16" s="22" t="s">
        <v>249</v>
      </c>
      <c r="E16" s="43"/>
      <c r="F16" s="43" t="s">
        <v>332</v>
      </c>
      <c r="G16" s="43" t="s">
        <v>209</v>
      </c>
      <c r="H16" s="43"/>
      <c r="I16" s="43"/>
      <c r="J16" s="43" t="s">
        <v>314</v>
      </c>
      <c r="K16" s="46">
        <v>8700000</v>
      </c>
      <c r="L16" s="46">
        <v>8700000</v>
      </c>
      <c r="M16" s="43"/>
      <c r="N16" s="43"/>
      <c r="O16" s="43"/>
    </row>
    <row r="17" spans="1:19" ht="15.75" customHeight="1">
      <c r="A17" s="41"/>
      <c r="B17" s="43" t="s">
        <v>142</v>
      </c>
      <c r="C17" s="43" t="s">
        <v>201</v>
      </c>
      <c r="D17" s="22" t="s">
        <v>249</v>
      </c>
      <c r="E17" s="43" t="s">
        <v>221</v>
      </c>
      <c r="F17" s="43" t="s">
        <v>222</v>
      </c>
      <c r="G17" s="43"/>
      <c r="H17" s="43"/>
      <c r="I17" s="43" t="s">
        <v>333</v>
      </c>
      <c r="J17" s="43" t="s">
        <v>334</v>
      </c>
      <c r="K17" s="46">
        <v>1000000</v>
      </c>
      <c r="L17" s="46"/>
      <c r="M17" s="43" t="s">
        <v>335</v>
      </c>
      <c r="N17" s="43"/>
      <c r="O17" s="43"/>
      <c r="S17" s="54"/>
    </row>
    <row r="18" spans="1:19" ht="15.75" customHeight="1">
      <c r="A18" s="41"/>
      <c r="B18" s="43"/>
      <c r="C18" s="43"/>
      <c r="D18" s="43"/>
      <c r="E18" s="43"/>
      <c r="F18" s="43"/>
      <c r="G18" s="46"/>
      <c r="H18" s="43"/>
      <c r="I18" s="43" t="s">
        <v>336</v>
      </c>
      <c r="J18" s="43" t="s">
        <v>334</v>
      </c>
      <c r="K18" s="46">
        <v>1000000</v>
      </c>
      <c r="L18" s="46"/>
      <c r="M18" s="43"/>
      <c r="N18" s="43"/>
      <c r="O18" s="43"/>
      <c r="S18" s="54"/>
    </row>
    <row r="19" spans="1:19" ht="15.75" customHeight="1">
      <c r="A19" s="41"/>
      <c r="B19" s="43"/>
      <c r="C19" s="43"/>
      <c r="D19" s="43"/>
      <c r="E19" s="43"/>
      <c r="H19" s="43"/>
      <c r="I19" s="43" t="s">
        <v>337</v>
      </c>
      <c r="J19" s="43" t="s">
        <v>334</v>
      </c>
      <c r="K19" s="46">
        <v>2500000</v>
      </c>
      <c r="L19" s="46"/>
      <c r="M19" s="43"/>
      <c r="N19" s="43"/>
      <c r="O19" s="43"/>
      <c r="S19" s="54"/>
    </row>
    <row r="20" spans="1:19" ht="15.75" customHeight="1">
      <c r="A20" s="41"/>
      <c r="B20" s="43" t="s">
        <v>142</v>
      </c>
      <c r="C20" s="43" t="s">
        <v>201</v>
      </c>
      <c r="D20" s="22" t="s">
        <v>249</v>
      </c>
      <c r="E20" s="43"/>
      <c r="F20" s="43" t="s">
        <v>223</v>
      </c>
      <c r="G20" s="43"/>
      <c r="H20" s="43"/>
      <c r="I20" s="43"/>
      <c r="J20" s="43" t="s">
        <v>314</v>
      </c>
      <c r="K20" s="46" t="s">
        <v>338</v>
      </c>
      <c r="L20" s="46"/>
      <c r="M20" s="43"/>
      <c r="N20" s="43"/>
      <c r="O20" s="43"/>
    </row>
    <row r="21" spans="1:19" ht="15.75" customHeight="1">
      <c r="A21" s="41"/>
      <c r="B21" s="43" t="s">
        <v>142</v>
      </c>
      <c r="C21" s="43" t="s">
        <v>201</v>
      </c>
      <c r="D21" s="44" t="s">
        <v>249</v>
      </c>
      <c r="E21" s="43"/>
      <c r="F21" s="43" t="s">
        <v>339</v>
      </c>
      <c r="G21" s="43"/>
      <c r="H21" s="43"/>
      <c r="I21" s="43"/>
      <c r="J21" s="43" t="s">
        <v>334</v>
      </c>
      <c r="K21" s="46">
        <v>600000</v>
      </c>
      <c r="L21" s="46"/>
      <c r="M21" s="43" t="s">
        <v>340</v>
      </c>
      <c r="N21" s="43"/>
      <c r="O21" s="43"/>
    </row>
    <row r="22" spans="1:19" ht="15.75" customHeight="1">
      <c r="D22" s="22" t="s">
        <v>249</v>
      </c>
      <c r="F22" s="44" t="s">
        <v>341</v>
      </c>
      <c r="H22" s="44"/>
      <c r="I22" s="44" t="s">
        <v>342</v>
      </c>
      <c r="J22" s="44" t="s">
        <v>343</v>
      </c>
      <c r="K22" s="51"/>
      <c r="L22" s="51">
        <v>200000</v>
      </c>
      <c r="M22" s="43" t="s">
        <v>340</v>
      </c>
    </row>
    <row r="23" spans="1:19" ht="15.75" customHeight="1">
      <c r="D23" s="43"/>
      <c r="F23" s="44"/>
      <c r="H23" s="44"/>
      <c r="I23" s="44" t="s">
        <v>344</v>
      </c>
      <c r="J23" s="44" t="s">
        <v>343</v>
      </c>
      <c r="K23" s="51"/>
      <c r="L23" s="51">
        <v>300000</v>
      </c>
    </row>
    <row r="24" spans="1:19" ht="15.75" customHeight="1">
      <c r="A24" s="41"/>
      <c r="B24" s="43" t="s">
        <v>142</v>
      </c>
      <c r="C24" s="43" t="s">
        <v>201</v>
      </c>
      <c r="D24" s="22" t="s">
        <v>249</v>
      </c>
      <c r="E24" s="43"/>
      <c r="F24" s="43" t="s">
        <v>211</v>
      </c>
      <c r="G24" s="43"/>
      <c r="H24" s="43"/>
      <c r="I24" s="43"/>
      <c r="J24" s="43" t="s">
        <v>314</v>
      </c>
      <c r="K24" s="46">
        <v>950000</v>
      </c>
      <c r="L24" s="46"/>
      <c r="M24" s="43"/>
      <c r="N24" s="43"/>
      <c r="O24" s="43"/>
    </row>
    <row r="25" spans="1:19" ht="15.75" customHeight="1">
      <c r="A25" s="41"/>
      <c r="B25" s="43" t="s">
        <v>142</v>
      </c>
      <c r="C25" s="43" t="s">
        <v>65</v>
      </c>
      <c r="D25" s="44" t="s">
        <v>65</v>
      </c>
      <c r="E25" s="43"/>
      <c r="F25" s="43" t="s">
        <v>213</v>
      </c>
      <c r="G25" s="43" t="s">
        <v>214</v>
      </c>
      <c r="H25" s="43"/>
      <c r="I25" s="43"/>
      <c r="J25" s="43" t="s">
        <v>345</v>
      </c>
      <c r="K25" s="46"/>
      <c r="L25" s="46"/>
      <c r="M25" s="43" t="s">
        <v>346</v>
      </c>
      <c r="N25" s="43"/>
      <c r="O25" s="43"/>
    </row>
    <row r="26" spans="1:19" ht="15.75" customHeight="1">
      <c r="A26" s="41"/>
      <c r="B26" s="43"/>
      <c r="C26" s="43"/>
      <c r="E26" s="43"/>
      <c r="F26" s="43"/>
      <c r="G26" s="43"/>
      <c r="H26" s="43"/>
      <c r="I26" s="43"/>
      <c r="J26" s="43"/>
      <c r="K26" s="46"/>
      <c r="L26" s="46"/>
      <c r="M26" s="43"/>
      <c r="N26" s="43"/>
      <c r="O26" s="43"/>
    </row>
    <row r="27" spans="1:19" ht="15.75" customHeight="1">
      <c r="A27" s="41"/>
      <c r="B27" s="43" t="s">
        <v>142</v>
      </c>
      <c r="C27" s="43" t="s">
        <v>65</v>
      </c>
      <c r="D27" s="22" t="s">
        <v>249</v>
      </c>
      <c r="E27" s="43"/>
      <c r="F27" s="43" t="s">
        <v>216</v>
      </c>
      <c r="G27" s="43"/>
      <c r="H27" s="43"/>
      <c r="I27" s="43"/>
      <c r="J27" s="43"/>
      <c r="K27" s="46"/>
      <c r="L27" s="46"/>
      <c r="M27" s="43"/>
      <c r="N27" s="43"/>
      <c r="O27" s="43"/>
    </row>
    <row r="28" spans="1:19" ht="15.75" customHeight="1">
      <c r="A28" s="41"/>
      <c r="B28" s="43" t="s">
        <v>142</v>
      </c>
      <c r="C28" s="43" t="s">
        <v>65</v>
      </c>
      <c r="D28" s="22" t="s">
        <v>249</v>
      </c>
      <c r="E28" s="43"/>
      <c r="F28" s="43" t="s">
        <v>217</v>
      </c>
      <c r="G28" s="43"/>
      <c r="H28" s="43"/>
      <c r="I28" s="43"/>
      <c r="J28" s="43"/>
      <c r="K28" s="46"/>
      <c r="L28" s="46"/>
      <c r="M28" s="43"/>
      <c r="N28" s="43"/>
      <c r="O28" s="43"/>
    </row>
    <row r="29" spans="1:19" ht="15.75" customHeight="1">
      <c r="A29" s="41"/>
      <c r="B29" s="43" t="s">
        <v>142</v>
      </c>
      <c r="C29" s="43" t="s">
        <v>65</v>
      </c>
      <c r="D29" s="22" t="s">
        <v>249</v>
      </c>
      <c r="E29" s="43"/>
      <c r="F29" s="43" t="s">
        <v>218</v>
      </c>
      <c r="G29" s="43"/>
      <c r="H29" s="43"/>
      <c r="I29" s="43"/>
      <c r="J29" s="43"/>
      <c r="K29" s="46"/>
      <c r="L29" s="46"/>
      <c r="M29" s="43"/>
      <c r="N29" s="43"/>
      <c r="O29" s="43"/>
    </row>
    <row r="30" spans="1:19" ht="15.75" customHeight="1">
      <c r="A30" s="41"/>
      <c r="B30" s="43" t="s">
        <v>142</v>
      </c>
      <c r="C30" s="43" t="s">
        <v>192</v>
      </c>
      <c r="D30" s="22" t="s">
        <v>310</v>
      </c>
      <c r="E30" s="43"/>
      <c r="F30" s="43" t="s">
        <v>347</v>
      </c>
      <c r="G30" s="43"/>
      <c r="H30" s="43"/>
      <c r="I30" s="43"/>
      <c r="J30" s="43" t="s">
        <v>311</v>
      </c>
      <c r="K30" s="46">
        <v>500000</v>
      </c>
      <c r="L30" s="46">
        <v>50000</v>
      </c>
      <c r="M30" s="43"/>
      <c r="N30" s="43"/>
      <c r="O30" s="43"/>
    </row>
    <row r="31" spans="1:19" ht="15.75" customHeight="1">
      <c r="A31" s="41"/>
      <c r="B31" s="43" t="s">
        <v>142</v>
      </c>
      <c r="C31" s="43" t="s">
        <v>65</v>
      </c>
      <c r="D31" s="22" t="s">
        <v>249</v>
      </c>
      <c r="E31" s="43"/>
      <c r="F31" s="43" t="s">
        <v>224</v>
      </c>
      <c r="G31" s="43"/>
      <c r="H31" s="43"/>
      <c r="I31" s="43"/>
      <c r="J31" s="43" t="s">
        <v>314</v>
      </c>
      <c r="K31" s="46"/>
      <c r="L31" s="46"/>
      <c r="M31" s="43"/>
      <c r="N31" s="43"/>
      <c r="O31" s="43"/>
    </row>
    <row r="32" spans="1:19" ht="15.75" customHeight="1">
      <c r="C32" s="44" t="s">
        <v>201</v>
      </c>
      <c r="D32" s="22" t="s">
        <v>249</v>
      </c>
      <c r="F32" s="44" t="s">
        <v>348</v>
      </c>
      <c r="G32" s="44" t="s">
        <v>349</v>
      </c>
      <c r="J32" s="44" t="s">
        <v>350</v>
      </c>
      <c r="K32" s="51">
        <v>100000</v>
      </c>
      <c r="L32" s="51">
        <v>100000</v>
      </c>
    </row>
    <row r="33" spans="1:15" ht="15.75" customHeight="1">
      <c r="C33" s="44" t="s">
        <v>201</v>
      </c>
      <c r="D33" s="22" t="s">
        <v>249</v>
      </c>
      <c r="F33" s="44" t="s">
        <v>351</v>
      </c>
      <c r="K33" s="51">
        <v>500000</v>
      </c>
      <c r="L33" s="51"/>
    </row>
    <row r="34" spans="1:15" ht="15.75" customHeight="1">
      <c r="C34" s="44" t="s">
        <v>201</v>
      </c>
      <c r="D34" s="22" t="s">
        <v>249</v>
      </c>
      <c r="F34" s="44" t="s">
        <v>352</v>
      </c>
      <c r="J34" s="44" t="s">
        <v>314</v>
      </c>
      <c r="K34" s="51">
        <v>1500000</v>
      </c>
      <c r="L34" s="51"/>
    </row>
    <row r="35" spans="1:15" ht="15.75" customHeight="1">
      <c r="A35" s="41"/>
      <c r="B35" s="43" t="s">
        <v>142</v>
      </c>
      <c r="C35" s="43" t="s">
        <v>201</v>
      </c>
      <c r="D35" s="22" t="s">
        <v>249</v>
      </c>
      <c r="E35" s="43"/>
      <c r="F35" s="43" t="s">
        <v>220</v>
      </c>
      <c r="G35" s="43"/>
      <c r="H35" s="43"/>
      <c r="I35" s="43"/>
      <c r="J35" s="43"/>
      <c r="K35" s="46"/>
      <c r="L35" s="46"/>
      <c r="M35" s="43"/>
      <c r="N35" s="43"/>
      <c r="O35" s="43"/>
    </row>
    <row r="36" spans="1:15" ht="15.75" customHeight="1">
      <c r="D36" s="43"/>
      <c r="K36" s="51"/>
      <c r="L36" s="51"/>
    </row>
    <row r="37" spans="1:15" ht="15.75" customHeight="1">
      <c r="D37" s="43"/>
      <c r="K37" s="51"/>
      <c r="L37" s="51"/>
    </row>
    <row r="38" spans="1:15" ht="15.75" customHeight="1">
      <c r="D38" s="43"/>
      <c r="K38" s="51"/>
      <c r="L38" s="51"/>
    </row>
    <row r="39" spans="1:15" ht="15.75" customHeight="1">
      <c r="D39" s="43"/>
      <c r="K39" s="51"/>
      <c r="L39" s="51"/>
    </row>
    <row r="40" spans="1:15" ht="15.75" customHeight="1">
      <c r="D40" s="43"/>
      <c r="K40" s="51"/>
      <c r="L40" s="51"/>
    </row>
    <row r="41" spans="1:15" ht="15.75" customHeight="1">
      <c r="D41" s="43"/>
      <c r="K41" s="51"/>
      <c r="L41" s="51"/>
    </row>
    <row r="42" spans="1:15" ht="15.75" customHeight="1">
      <c r="D42" s="43"/>
      <c r="K42" s="51"/>
      <c r="L42" s="51"/>
    </row>
    <row r="43" spans="1:15" ht="15.75" customHeight="1">
      <c r="D43" s="43"/>
      <c r="K43" s="51"/>
      <c r="L43" s="51"/>
    </row>
    <row r="44" spans="1:15" ht="15.75" customHeight="1">
      <c r="D44" s="43"/>
      <c r="K44" s="51"/>
      <c r="L44" s="51"/>
    </row>
    <row r="45" spans="1:15" ht="15.75" customHeight="1">
      <c r="D45" s="43"/>
      <c r="K45" s="51"/>
      <c r="L45" s="51"/>
    </row>
    <row r="46" spans="1:15" ht="15.75" customHeight="1">
      <c r="D46" s="43"/>
      <c r="K46" s="51"/>
      <c r="L46" s="51"/>
    </row>
    <row r="47" spans="1:15" ht="15.75" customHeight="1">
      <c r="D47" s="43"/>
      <c r="K47" s="51"/>
      <c r="L47" s="51"/>
    </row>
    <row r="48" spans="1:15" ht="15.75" customHeight="1">
      <c r="D48" s="43"/>
      <c r="K48" s="51"/>
      <c r="L48" s="51"/>
    </row>
    <row r="49" spans="4:12" ht="15.75" customHeight="1">
      <c r="D49" s="43"/>
      <c r="K49" s="51"/>
      <c r="L49" s="51"/>
    </row>
    <row r="50" spans="4:12" ht="15.75" customHeight="1">
      <c r="D50" s="43"/>
      <c r="K50" s="51"/>
      <c r="L50" s="51"/>
    </row>
    <row r="51" spans="4:12" ht="15.75" customHeight="1">
      <c r="D51" s="43"/>
      <c r="K51" s="51"/>
      <c r="L51" s="51"/>
    </row>
    <row r="52" spans="4:12" ht="15.75" customHeight="1">
      <c r="D52" s="43"/>
      <c r="K52" s="51"/>
      <c r="L52" s="51"/>
    </row>
    <row r="53" spans="4:12" ht="15.75" customHeight="1">
      <c r="D53" s="43"/>
      <c r="K53" s="51"/>
      <c r="L53" s="51"/>
    </row>
    <row r="54" spans="4:12" ht="15.75" customHeight="1">
      <c r="D54" s="43"/>
      <c r="K54" s="51"/>
      <c r="L54" s="51"/>
    </row>
    <row r="55" spans="4:12" ht="15.75" customHeight="1">
      <c r="D55" s="43"/>
      <c r="K55" s="51"/>
      <c r="L55" s="51"/>
    </row>
    <row r="56" spans="4:12" ht="15.75" customHeight="1">
      <c r="D56" s="43"/>
      <c r="K56" s="51"/>
      <c r="L56" s="51"/>
    </row>
    <row r="57" spans="4:12" ht="15.75" customHeight="1">
      <c r="D57" s="43"/>
      <c r="K57" s="51"/>
      <c r="L57" s="51"/>
    </row>
    <row r="58" spans="4:12" ht="15.75" customHeight="1">
      <c r="D58" s="43"/>
      <c r="K58" s="51"/>
      <c r="L58" s="51"/>
    </row>
    <row r="59" spans="4:12" ht="15.75" customHeight="1">
      <c r="D59" s="43"/>
      <c r="K59" s="51"/>
      <c r="L59" s="51"/>
    </row>
    <row r="60" spans="4:12" ht="15.75" customHeight="1">
      <c r="D60" s="43"/>
      <c r="K60" s="51"/>
      <c r="L60" s="51"/>
    </row>
    <row r="61" spans="4:12" ht="15.75" customHeight="1">
      <c r="D61" s="43"/>
      <c r="K61" s="51"/>
      <c r="L61" s="51"/>
    </row>
    <row r="62" spans="4:12" ht="15.75" customHeight="1">
      <c r="D62" s="43"/>
      <c r="K62" s="51"/>
      <c r="L62" s="51"/>
    </row>
    <row r="63" spans="4:12" ht="15.75" customHeight="1">
      <c r="D63" s="43"/>
      <c r="K63" s="51"/>
      <c r="L63" s="51"/>
    </row>
    <row r="64" spans="4:12" ht="15.75" customHeight="1">
      <c r="D64" s="43"/>
      <c r="K64" s="51"/>
      <c r="L64" s="51"/>
    </row>
    <row r="65" spans="4:12" ht="15.75" customHeight="1">
      <c r="D65" s="43"/>
      <c r="K65" s="51"/>
      <c r="L65" s="51"/>
    </row>
    <row r="66" spans="4:12" ht="15.75" customHeight="1">
      <c r="D66" s="43"/>
      <c r="K66" s="51"/>
      <c r="L66" s="51"/>
    </row>
    <row r="67" spans="4:12" ht="15.75" customHeight="1">
      <c r="D67" s="43"/>
      <c r="K67" s="51"/>
      <c r="L67" s="51"/>
    </row>
    <row r="68" spans="4:12" ht="15.75" customHeight="1">
      <c r="D68" s="43"/>
      <c r="K68" s="51"/>
      <c r="L68" s="51"/>
    </row>
    <row r="69" spans="4:12" ht="15.75" customHeight="1">
      <c r="D69" s="43"/>
      <c r="K69" s="51"/>
      <c r="L69" s="51"/>
    </row>
    <row r="70" spans="4:12" ht="15.75" customHeight="1">
      <c r="D70" s="43"/>
      <c r="K70" s="51"/>
      <c r="L70" s="51"/>
    </row>
    <row r="71" spans="4:12" ht="15.75" customHeight="1">
      <c r="D71" s="43"/>
      <c r="K71" s="51"/>
      <c r="L71" s="51"/>
    </row>
    <row r="72" spans="4:12" ht="15.75" customHeight="1">
      <c r="D72" s="43"/>
      <c r="K72" s="51"/>
      <c r="L72" s="51"/>
    </row>
    <row r="73" spans="4:12" ht="15.75" customHeight="1">
      <c r="D73" s="43"/>
      <c r="K73" s="51"/>
      <c r="L73" s="51"/>
    </row>
    <row r="74" spans="4:12" ht="15.75" customHeight="1">
      <c r="D74" s="43"/>
      <c r="K74" s="51"/>
      <c r="L74" s="51"/>
    </row>
    <row r="75" spans="4:12" ht="15.75" customHeight="1">
      <c r="D75" s="43"/>
      <c r="K75" s="51"/>
      <c r="L75" s="51"/>
    </row>
    <row r="76" spans="4:12" ht="15.75" customHeight="1">
      <c r="D76" s="43"/>
      <c r="K76" s="51"/>
      <c r="L76" s="51"/>
    </row>
    <row r="77" spans="4:12" ht="15.75" customHeight="1">
      <c r="D77" s="43"/>
      <c r="K77" s="51"/>
      <c r="L77" s="51"/>
    </row>
    <row r="78" spans="4:12" ht="15.75" customHeight="1">
      <c r="D78" s="43"/>
      <c r="K78" s="51"/>
      <c r="L78" s="51"/>
    </row>
    <row r="79" spans="4:12" ht="15.75" customHeight="1">
      <c r="D79" s="43"/>
      <c r="K79" s="51"/>
      <c r="L79" s="51"/>
    </row>
    <row r="80" spans="4:12" ht="15.75" customHeight="1">
      <c r="D80" s="43"/>
      <c r="K80" s="51"/>
      <c r="L80" s="51"/>
    </row>
    <row r="81" spans="4:12" ht="15.75" customHeight="1">
      <c r="D81" s="43"/>
      <c r="K81" s="51"/>
      <c r="L81" s="51"/>
    </row>
    <row r="82" spans="4:12" ht="15.75" customHeight="1">
      <c r="D82" s="43"/>
      <c r="K82" s="51"/>
      <c r="L82" s="51"/>
    </row>
    <row r="83" spans="4:12" ht="15.75" customHeight="1">
      <c r="D83" s="43"/>
      <c r="K83" s="51"/>
      <c r="L83" s="51"/>
    </row>
    <row r="84" spans="4:12" ht="15.75" customHeight="1">
      <c r="D84" s="43"/>
      <c r="K84" s="51"/>
      <c r="L84" s="51"/>
    </row>
    <row r="85" spans="4:12" ht="15.75" customHeight="1">
      <c r="D85" s="43"/>
      <c r="K85" s="51"/>
      <c r="L85" s="51"/>
    </row>
    <row r="86" spans="4:12" ht="15.75" customHeight="1">
      <c r="D86" s="43"/>
      <c r="K86" s="51"/>
      <c r="L86" s="51"/>
    </row>
    <row r="87" spans="4:12" ht="15.75" customHeight="1">
      <c r="D87" s="43"/>
      <c r="K87" s="51"/>
      <c r="L87" s="51"/>
    </row>
    <row r="88" spans="4:12" ht="15.75" customHeight="1">
      <c r="D88" s="43"/>
      <c r="K88" s="51"/>
      <c r="L88" s="51"/>
    </row>
    <row r="89" spans="4:12" ht="15.75" customHeight="1">
      <c r="D89" s="43"/>
      <c r="K89" s="51"/>
      <c r="L89" s="51"/>
    </row>
    <row r="90" spans="4:12" ht="15.75" customHeight="1">
      <c r="K90" s="51"/>
      <c r="L90" s="51"/>
    </row>
    <row r="91" spans="4:12" ht="15.75" customHeight="1">
      <c r="K91" s="51"/>
      <c r="L91" s="51"/>
    </row>
    <row r="92" spans="4:12" ht="15.75" customHeight="1">
      <c r="K92" s="51"/>
      <c r="L92" s="51"/>
    </row>
    <row r="93" spans="4:12" ht="15.75" customHeight="1">
      <c r="K93" s="51"/>
      <c r="L93" s="51"/>
    </row>
    <row r="94" spans="4:12" ht="15.75" customHeight="1">
      <c r="K94" s="51"/>
      <c r="L94" s="51"/>
    </row>
    <row r="95" spans="4:12" ht="15.75" customHeight="1">
      <c r="K95" s="51"/>
      <c r="L95" s="51"/>
    </row>
    <row r="96" spans="4:12" ht="15.75" customHeight="1">
      <c r="D96" s="43"/>
      <c r="K96" s="51"/>
      <c r="L96" s="51"/>
    </row>
    <row r="97" spans="4:12" ht="15.75" customHeight="1">
      <c r="D97" s="43"/>
      <c r="K97" s="51"/>
      <c r="L97" s="51"/>
    </row>
    <row r="98" spans="4:12" ht="15.75" customHeight="1">
      <c r="D98" s="43"/>
      <c r="K98" s="51"/>
      <c r="L98" s="51"/>
    </row>
    <row r="99" spans="4:12" ht="15.75" customHeight="1">
      <c r="D99" s="43"/>
      <c r="K99" s="51"/>
      <c r="L99" s="51"/>
    </row>
    <row r="100" spans="4:12" ht="15.75" customHeight="1">
      <c r="D100" s="43"/>
      <c r="K100" s="51"/>
      <c r="L100" s="51"/>
    </row>
    <row r="101" spans="4:12" ht="15.75" customHeight="1">
      <c r="D101" s="43"/>
      <c r="K101" s="51"/>
      <c r="L101" s="51"/>
    </row>
    <row r="102" spans="4:12" ht="15.75" customHeight="1">
      <c r="D102" s="43"/>
      <c r="K102" s="51"/>
      <c r="L102" s="51"/>
    </row>
    <row r="103" spans="4:12" ht="15.75" customHeight="1">
      <c r="D103" s="43"/>
      <c r="K103" s="51"/>
      <c r="L103" s="51"/>
    </row>
    <row r="104" spans="4:12" ht="15.75" customHeight="1">
      <c r="D104" s="43"/>
      <c r="K104" s="51"/>
      <c r="L104" s="51"/>
    </row>
    <row r="105" spans="4:12" ht="15.75" customHeight="1">
      <c r="D105" s="43"/>
      <c r="K105" s="51"/>
      <c r="L105" s="51"/>
    </row>
    <row r="106" spans="4:12" ht="15.75" customHeight="1">
      <c r="D106" s="43"/>
      <c r="K106" s="51"/>
      <c r="L106" s="51"/>
    </row>
    <row r="107" spans="4:12" ht="15.75" customHeight="1">
      <c r="D107" s="43"/>
      <c r="K107" s="51"/>
      <c r="L107" s="51"/>
    </row>
    <row r="108" spans="4:12" ht="15.75" customHeight="1">
      <c r="D108" s="43"/>
      <c r="K108" s="51"/>
      <c r="L108" s="51"/>
    </row>
    <row r="109" spans="4:12" ht="15.75" customHeight="1">
      <c r="D109" s="43"/>
      <c r="K109" s="51"/>
      <c r="L109" s="51"/>
    </row>
    <row r="110" spans="4:12" ht="15.75" customHeight="1">
      <c r="D110" s="43"/>
      <c r="K110" s="51"/>
      <c r="L110" s="51"/>
    </row>
    <row r="111" spans="4:12" ht="15.75" customHeight="1">
      <c r="D111" s="43"/>
      <c r="K111" s="51"/>
      <c r="L111" s="51"/>
    </row>
    <row r="112" spans="4:12" ht="15.75" customHeight="1">
      <c r="D112" s="43"/>
      <c r="K112" s="51"/>
      <c r="L112" s="51"/>
    </row>
    <row r="113" spans="4:12" ht="15.75" customHeight="1">
      <c r="D113" s="43"/>
      <c r="K113" s="51"/>
      <c r="L113" s="51"/>
    </row>
    <row r="114" spans="4:12" ht="15.75" customHeight="1">
      <c r="D114" s="43"/>
      <c r="K114" s="51"/>
      <c r="L114" s="51"/>
    </row>
    <row r="115" spans="4:12" ht="15.75" customHeight="1">
      <c r="D115" s="43"/>
      <c r="K115" s="51"/>
      <c r="L115" s="51"/>
    </row>
    <row r="116" spans="4:12" ht="15.75" customHeight="1">
      <c r="D116" s="43"/>
      <c r="K116" s="51"/>
      <c r="L116" s="51"/>
    </row>
    <row r="117" spans="4:12" ht="15.75" customHeight="1">
      <c r="D117" s="43"/>
      <c r="K117" s="51"/>
      <c r="L117" s="51"/>
    </row>
    <row r="118" spans="4:12" ht="15.75" customHeight="1">
      <c r="D118" s="43"/>
      <c r="K118" s="51"/>
      <c r="L118" s="51"/>
    </row>
    <row r="119" spans="4:12" ht="15.75" customHeight="1">
      <c r="D119" s="43"/>
      <c r="K119" s="51"/>
      <c r="L119" s="51"/>
    </row>
    <row r="120" spans="4:12" ht="15.75" customHeight="1">
      <c r="D120" s="43"/>
      <c r="K120" s="51"/>
      <c r="L120" s="51"/>
    </row>
    <row r="121" spans="4:12" ht="15.75" customHeight="1">
      <c r="D121" s="43"/>
      <c r="K121" s="51"/>
      <c r="L121" s="51"/>
    </row>
    <row r="122" spans="4:12" ht="15.75" customHeight="1">
      <c r="D122" s="43"/>
      <c r="K122" s="51"/>
      <c r="L122" s="51"/>
    </row>
    <row r="123" spans="4:12" ht="15.75" customHeight="1">
      <c r="D123" s="43"/>
      <c r="K123" s="51"/>
      <c r="L123" s="51"/>
    </row>
    <row r="124" spans="4:12" ht="15.75" customHeight="1">
      <c r="D124" s="43"/>
      <c r="K124" s="51"/>
      <c r="L124" s="51"/>
    </row>
    <row r="125" spans="4:12" ht="15.75" customHeight="1">
      <c r="D125" s="43"/>
      <c r="K125" s="51"/>
      <c r="L125" s="51"/>
    </row>
    <row r="126" spans="4:12" ht="15.75" customHeight="1">
      <c r="D126" s="43"/>
      <c r="K126" s="51"/>
      <c r="L126" s="51"/>
    </row>
    <row r="127" spans="4:12" ht="15.75" customHeight="1">
      <c r="D127" s="43"/>
      <c r="K127" s="51"/>
      <c r="L127" s="51"/>
    </row>
    <row r="128" spans="4:12" ht="15.75" customHeight="1">
      <c r="D128" s="43"/>
      <c r="K128" s="51"/>
      <c r="L128" s="51"/>
    </row>
    <row r="129" spans="4:12" ht="15.75" customHeight="1">
      <c r="D129" s="43"/>
      <c r="K129" s="51"/>
      <c r="L129" s="51"/>
    </row>
    <row r="130" spans="4:12" ht="15.75" customHeight="1">
      <c r="D130" s="43"/>
      <c r="K130" s="51"/>
      <c r="L130" s="51"/>
    </row>
    <row r="131" spans="4:12" ht="15.75" customHeight="1">
      <c r="D131" s="43"/>
      <c r="K131" s="51"/>
      <c r="L131" s="51"/>
    </row>
    <row r="132" spans="4:12" ht="15.75" customHeight="1">
      <c r="D132" s="43"/>
      <c r="K132" s="51"/>
      <c r="L132" s="51"/>
    </row>
    <row r="133" spans="4:12" ht="15.75" customHeight="1">
      <c r="D133" s="43"/>
      <c r="K133" s="51"/>
      <c r="L133" s="51"/>
    </row>
    <row r="134" spans="4:12" ht="15.75" customHeight="1">
      <c r="D134" s="43"/>
      <c r="K134" s="51"/>
      <c r="L134" s="51"/>
    </row>
    <row r="135" spans="4:12" ht="15.75" customHeight="1">
      <c r="D135" s="43"/>
      <c r="K135" s="51"/>
      <c r="L135" s="51"/>
    </row>
    <row r="136" spans="4:12" ht="15.75" customHeight="1">
      <c r="D136" s="43"/>
      <c r="K136" s="51"/>
      <c r="L136" s="51"/>
    </row>
    <row r="137" spans="4:12" ht="15.75" customHeight="1">
      <c r="D137" s="43"/>
      <c r="K137" s="51"/>
      <c r="L137" s="51"/>
    </row>
    <row r="138" spans="4:12" ht="15.75" customHeight="1">
      <c r="D138" s="43"/>
      <c r="K138" s="51"/>
      <c r="L138" s="51"/>
    </row>
    <row r="139" spans="4:12" ht="15.75" customHeight="1">
      <c r="D139" s="43"/>
      <c r="K139" s="51"/>
      <c r="L139" s="51"/>
    </row>
    <row r="140" spans="4:12" ht="15.75" customHeight="1">
      <c r="D140" s="43"/>
      <c r="K140" s="51"/>
      <c r="L140" s="51"/>
    </row>
    <row r="141" spans="4:12" ht="15.75" customHeight="1">
      <c r="D141" s="43"/>
      <c r="K141" s="51"/>
      <c r="L141" s="51"/>
    </row>
    <row r="142" spans="4:12" ht="15.75" customHeight="1">
      <c r="D142" s="43"/>
      <c r="K142" s="51"/>
      <c r="L142" s="51"/>
    </row>
    <row r="143" spans="4:12" ht="15.75" customHeight="1">
      <c r="D143" s="43"/>
      <c r="K143" s="51"/>
      <c r="L143" s="51"/>
    </row>
    <row r="144" spans="4:12" ht="15.75" customHeight="1">
      <c r="D144" s="43"/>
      <c r="K144" s="51"/>
      <c r="L144" s="51"/>
    </row>
    <row r="145" spans="4:12" ht="15.75" customHeight="1">
      <c r="D145" s="43"/>
      <c r="K145" s="51"/>
      <c r="L145" s="51"/>
    </row>
    <row r="146" spans="4:12" ht="15.75" customHeight="1">
      <c r="D146" s="43"/>
      <c r="K146" s="51"/>
      <c r="L146" s="51"/>
    </row>
    <row r="147" spans="4:12" ht="15.75" customHeight="1">
      <c r="D147" s="43"/>
      <c r="K147" s="51"/>
      <c r="L147" s="51"/>
    </row>
    <row r="148" spans="4:12" ht="15.75" customHeight="1">
      <c r="D148" s="43"/>
      <c r="K148" s="51"/>
      <c r="L148" s="51"/>
    </row>
    <row r="149" spans="4:12" ht="15.75" customHeight="1">
      <c r="D149" s="43"/>
      <c r="K149" s="51"/>
      <c r="L149" s="51"/>
    </row>
    <row r="150" spans="4:12" ht="15.75" customHeight="1">
      <c r="D150" s="43"/>
      <c r="K150" s="51"/>
      <c r="L150" s="51"/>
    </row>
    <row r="151" spans="4:12" ht="15.75" customHeight="1">
      <c r="D151" s="43"/>
      <c r="K151" s="51"/>
      <c r="L151" s="51"/>
    </row>
    <row r="152" spans="4:12" ht="15.75" customHeight="1">
      <c r="D152" s="43"/>
      <c r="K152" s="51"/>
      <c r="L152" s="51"/>
    </row>
    <row r="153" spans="4:12" ht="15.75" customHeight="1">
      <c r="D153" s="43"/>
      <c r="K153" s="51"/>
      <c r="L153" s="51"/>
    </row>
    <row r="154" spans="4:12" ht="15.75" customHeight="1">
      <c r="D154" s="43"/>
      <c r="K154" s="51"/>
      <c r="L154" s="51"/>
    </row>
    <row r="155" spans="4:12" ht="15.75" customHeight="1">
      <c r="D155" s="43"/>
      <c r="K155" s="51"/>
      <c r="L155" s="51"/>
    </row>
    <row r="156" spans="4:12" ht="15.75" customHeight="1">
      <c r="D156" s="43"/>
      <c r="K156" s="51"/>
      <c r="L156" s="51"/>
    </row>
    <row r="157" spans="4:12" ht="15.75" customHeight="1">
      <c r="D157" s="43"/>
      <c r="K157" s="51"/>
      <c r="L157" s="51"/>
    </row>
    <row r="158" spans="4:12" ht="15.75" customHeight="1">
      <c r="D158" s="43"/>
      <c r="K158" s="51"/>
      <c r="L158" s="51"/>
    </row>
    <row r="159" spans="4:12" ht="15.75" customHeight="1">
      <c r="D159" s="43"/>
      <c r="K159" s="51"/>
      <c r="L159" s="51"/>
    </row>
    <row r="160" spans="4:12" ht="15.75" customHeight="1">
      <c r="D160" s="43"/>
      <c r="K160" s="51"/>
      <c r="L160" s="51"/>
    </row>
    <row r="161" spans="4:12" ht="15.75" customHeight="1">
      <c r="D161" s="43"/>
      <c r="K161" s="51"/>
      <c r="L161" s="51"/>
    </row>
    <row r="162" spans="4:12" ht="15.75" customHeight="1">
      <c r="D162" s="43"/>
      <c r="K162" s="51"/>
      <c r="L162" s="51"/>
    </row>
    <row r="163" spans="4:12" ht="15.75" customHeight="1">
      <c r="D163" s="43"/>
      <c r="K163" s="51"/>
      <c r="L163" s="51"/>
    </row>
    <row r="164" spans="4:12" ht="15.75" customHeight="1">
      <c r="D164" s="43"/>
      <c r="K164" s="51"/>
      <c r="L164" s="51"/>
    </row>
    <row r="165" spans="4:12" ht="15.75" customHeight="1">
      <c r="D165" s="43"/>
      <c r="K165" s="51"/>
      <c r="L165" s="51"/>
    </row>
    <row r="166" spans="4:12" ht="15.75" customHeight="1">
      <c r="D166" s="43"/>
      <c r="K166" s="51"/>
      <c r="L166" s="51"/>
    </row>
    <row r="167" spans="4:12" ht="15.75" customHeight="1">
      <c r="D167" s="43"/>
      <c r="K167" s="51"/>
      <c r="L167" s="51"/>
    </row>
    <row r="168" spans="4:12" ht="15.75" customHeight="1">
      <c r="D168" s="43"/>
      <c r="K168" s="51"/>
      <c r="L168" s="51"/>
    </row>
    <row r="169" spans="4:12" ht="15.75" customHeight="1">
      <c r="D169" s="43"/>
      <c r="K169" s="51"/>
      <c r="L169" s="51"/>
    </row>
    <row r="170" spans="4:12" ht="15.75" customHeight="1">
      <c r="D170" s="43"/>
      <c r="K170" s="51"/>
      <c r="L170" s="51"/>
    </row>
    <row r="171" spans="4:12" ht="15.75" customHeight="1">
      <c r="D171" s="43"/>
      <c r="K171" s="51"/>
      <c r="L171" s="51"/>
    </row>
    <row r="172" spans="4:12" ht="15.75" customHeight="1">
      <c r="D172" s="43"/>
      <c r="K172" s="51"/>
      <c r="L172" s="51"/>
    </row>
    <row r="173" spans="4:12" ht="15.75" customHeight="1">
      <c r="D173" s="43"/>
      <c r="K173" s="51"/>
      <c r="L173" s="51"/>
    </row>
    <row r="174" spans="4:12" ht="15.75" customHeight="1">
      <c r="D174" s="43"/>
      <c r="K174" s="51"/>
      <c r="L174" s="51"/>
    </row>
    <row r="175" spans="4:12" ht="15.75" customHeight="1">
      <c r="D175" s="43"/>
      <c r="K175" s="51"/>
      <c r="L175" s="51"/>
    </row>
    <row r="176" spans="4:12" ht="15.75" customHeight="1">
      <c r="D176" s="43"/>
      <c r="K176" s="51"/>
      <c r="L176" s="51"/>
    </row>
    <row r="177" spans="4:12" ht="15.75" customHeight="1">
      <c r="D177" s="43"/>
      <c r="K177" s="51"/>
      <c r="L177" s="51"/>
    </row>
    <row r="178" spans="4:12" ht="15.75" customHeight="1">
      <c r="D178" s="43"/>
      <c r="K178" s="51"/>
      <c r="L178" s="51"/>
    </row>
    <row r="179" spans="4:12" ht="15.75" customHeight="1">
      <c r="D179" s="43"/>
      <c r="K179" s="51"/>
      <c r="L179" s="51"/>
    </row>
    <row r="180" spans="4:12" ht="15.75" customHeight="1">
      <c r="D180" s="43"/>
      <c r="K180" s="51"/>
      <c r="L180" s="51"/>
    </row>
    <row r="181" spans="4:12" ht="15.75" customHeight="1">
      <c r="D181" s="43"/>
      <c r="K181" s="51"/>
      <c r="L181" s="51"/>
    </row>
    <row r="182" spans="4:12" ht="15.75" customHeight="1">
      <c r="D182" s="43"/>
      <c r="K182" s="51"/>
      <c r="L182" s="51"/>
    </row>
    <row r="183" spans="4:12" ht="15.75" customHeight="1">
      <c r="D183" s="43"/>
      <c r="K183" s="51"/>
      <c r="L183" s="51"/>
    </row>
    <row r="184" spans="4:12" ht="15.75" customHeight="1">
      <c r="D184" s="43"/>
      <c r="K184" s="51"/>
      <c r="L184" s="51"/>
    </row>
    <row r="185" spans="4:12" ht="15.75" customHeight="1">
      <c r="D185" s="43"/>
      <c r="K185" s="51"/>
      <c r="L185" s="51"/>
    </row>
    <row r="186" spans="4:12" ht="15.75" customHeight="1">
      <c r="D186" s="43"/>
      <c r="K186" s="51"/>
      <c r="L186" s="51"/>
    </row>
    <row r="187" spans="4:12" ht="15.75" customHeight="1">
      <c r="D187" s="43"/>
      <c r="K187" s="51"/>
      <c r="L187" s="51"/>
    </row>
    <row r="188" spans="4:12" ht="15.75" customHeight="1">
      <c r="D188" s="43"/>
      <c r="K188" s="51"/>
      <c r="L188" s="51"/>
    </row>
    <row r="189" spans="4:12" ht="15.75" customHeight="1">
      <c r="D189" s="43"/>
      <c r="K189" s="51"/>
      <c r="L189" s="51"/>
    </row>
    <row r="190" spans="4:12" ht="15.75" customHeight="1">
      <c r="D190" s="43"/>
      <c r="K190" s="51"/>
      <c r="L190" s="51"/>
    </row>
    <row r="191" spans="4:12" ht="15.75" customHeight="1">
      <c r="D191" s="43"/>
      <c r="K191" s="51"/>
      <c r="L191" s="51"/>
    </row>
    <row r="192" spans="4:12" ht="15.75" customHeight="1">
      <c r="D192" s="43"/>
      <c r="K192" s="51"/>
      <c r="L192" s="51"/>
    </row>
    <row r="193" spans="4:12" ht="15.75" customHeight="1">
      <c r="D193" s="43"/>
      <c r="K193" s="51"/>
      <c r="L193" s="51"/>
    </row>
    <row r="194" spans="4:12" ht="15.75" customHeight="1">
      <c r="D194" s="43"/>
      <c r="K194" s="51"/>
      <c r="L194" s="51"/>
    </row>
    <row r="195" spans="4:12" ht="15.75" customHeight="1">
      <c r="D195" s="43"/>
      <c r="K195" s="51"/>
      <c r="L195" s="51"/>
    </row>
    <row r="196" spans="4:12" ht="15.75" customHeight="1">
      <c r="D196" s="43"/>
      <c r="K196" s="51"/>
      <c r="L196" s="51"/>
    </row>
    <row r="197" spans="4:12" ht="15.75" customHeight="1">
      <c r="D197" s="43"/>
      <c r="K197" s="51"/>
      <c r="L197" s="51"/>
    </row>
    <row r="198" spans="4:12" ht="15.75" customHeight="1">
      <c r="D198" s="43"/>
      <c r="K198" s="51"/>
      <c r="L198" s="51"/>
    </row>
    <row r="199" spans="4:12" ht="15.75" customHeight="1">
      <c r="D199" s="43"/>
      <c r="K199" s="51"/>
      <c r="L199" s="51"/>
    </row>
    <row r="200" spans="4:12" ht="15.75" customHeight="1">
      <c r="D200" s="43"/>
      <c r="K200" s="51"/>
      <c r="L200" s="51"/>
    </row>
    <row r="201" spans="4:12" ht="15.75" customHeight="1">
      <c r="D201" s="43"/>
      <c r="K201" s="51"/>
      <c r="L201" s="51"/>
    </row>
    <row r="202" spans="4:12" ht="15.75" customHeight="1">
      <c r="D202" s="43"/>
      <c r="K202" s="51"/>
      <c r="L202" s="51"/>
    </row>
    <row r="203" spans="4:12" ht="15.75" customHeight="1">
      <c r="D203" s="43"/>
      <c r="K203" s="51"/>
      <c r="L203" s="51"/>
    </row>
    <row r="204" spans="4:12" ht="15.75" customHeight="1">
      <c r="D204" s="43"/>
      <c r="K204" s="51"/>
      <c r="L204" s="51"/>
    </row>
    <row r="205" spans="4:12" ht="15.75" customHeight="1">
      <c r="D205" s="43"/>
      <c r="K205" s="51"/>
      <c r="L205" s="51"/>
    </row>
    <row r="206" spans="4:12" ht="15.75" customHeight="1">
      <c r="D206" s="43"/>
      <c r="K206" s="51"/>
      <c r="L206" s="51"/>
    </row>
    <row r="207" spans="4:12" ht="15.75" customHeight="1">
      <c r="D207" s="43"/>
      <c r="K207" s="51"/>
      <c r="L207" s="51"/>
    </row>
    <row r="208" spans="4:12" ht="15.75" customHeight="1">
      <c r="D208" s="43"/>
      <c r="K208" s="51"/>
      <c r="L208" s="51"/>
    </row>
    <row r="209" spans="4:12" ht="15.75" customHeight="1">
      <c r="D209" s="43"/>
      <c r="K209" s="51"/>
      <c r="L209" s="51"/>
    </row>
    <row r="210" spans="4:12" ht="15.75" customHeight="1">
      <c r="D210" s="43"/>
      <c r="K210" s="51"/>
      <c r="L210" s="51"/>
    </row>
    <row r="211" spans="4:12" ht="15.75" customHeight="1">
      <c r="D211" s="43"/>
      <c r="K211" s="51"/>
      <c r="L211" s="51"/>
    </row>
    <row r="212" spans="4:12" ht="15.75" customHeight="1">
      <c r="D212" s="43"/>
      <c r="K212" s="51"/>
      <c r="L212" s="51"/>
    </row>
    <row r="213" spans="4:12" ht="15.75" customHeight="1">
      <c r="D213" s="43"/>
      <c r="K213" s="51"/>
      <c r="L213" s="51"/>
    </row>
    <row r="214" spans="4:12" ht="15.75" customHeight="1">
      <c r="D214" s="43"/>
      <c r="K214" s="51"/>
      <c r="L214" s="51"/>
    </row>
    <row r="215" spans="4:12" ht="15.75" customHeight="1">
      <c r="D215" s="43"/>
      <c r="K215" s="51"/>
      <c r="L215" s="51"/>
    </row>
    <row r="216" spans="4:12" ht="15.75" customHeight="1">
      <c r="D216" s="43"/>
      <c r="K216" s="51"/>
      <c r="L216" s="51"/>
    </row>
    <row r="217" spans="4:12" ht="15.75" customHeight="1">
      <c r="D217" s="43"/>
      <c r="K217" s="51"/>
      <c r="L217" s="51"/>
    </row>
    <row r="218" spans="4:12" ht="15.75" customHeight="1">
      <c r="D218" s="43"/>
      <c r="K218" s="51"/>
      <c r="L218" s="51"/>
    </row>
    <row r="219" spans="4:12" ht="15.75" customHeight="1">
      <c r="D219" s="43"/>
      <c r="K219" s="51"/>
      <c r="L219" s="51"/>
    </row>
    <row r="220" spans="4:12" ht="15.75" customHeight="1">
      <c r="D220" s="43"/>
      <c r="K220" s="51"/>
      <c r="L220" s="51"/>
    </row>
    <row r="221" spans="4:12" ht="15.75" customHeight="1">
      <c r="D221" s="43"/>
      <c r="K221" s="51"/>
      <c r="L221" s="51"/>
    </row>
    <row r="222" spans="4:12" ht="15.75" customHeight="1">
      <c r="D222" s="43"/>
      <c r="K222" s="51"/>
      <c r="L222" s="51"/>
    </row>
    <row r="223" spans="4:12" ht="15.75" customHeight="1">
      <c r="D223" s="43"/>
      <c r="K223" s="51"/>
      <c r="L223" s="51"/>
    </row>
    <row r="224" spans="4:12" ht="15.75" customHeight="1">
      <c r="D224" s="43"/>
      <c r="K224" s="51"/>
      <c r="L224" s="51"/>
    </row>
    <row r="225" spans="4:12" ht="15.75" customHeight="1">
      <c r="D225" s="43"/>
      <c r="K225" s="51"/>
      <c r="L225" s="51"/>
    </row>
    <row r="226" spans="4:12" ht="15.75" customHeight="1">
      <c r="D226" s="43"/>
      <c r="K226" s="51"/>
      <c r="L226" s="51"/>
    </row>
    <row r="227" spans="4:12" ht="15.75" customHeight="1">
      <c r="D227" s="43"/>
      <c r="K227" s="51"/>
      <c r="L227" s="51"/>
    </row>
    <row r="228" spans="4:12" ht="15.75" customHeight="1">
      <c r="D228" s="43"/>
      <c r="K228" s="51"/>
      <c r="L228" s="51"/>
    </row>
    <row r="229" spans="4:12" ht="15.75" customHeight="1">
      <c r="D229" s="43"/>
      <c r="K229" s="51"/>
      <c r="L229" s="51"/>
    </row>
    <row r="230" spans="4:12" ht="15.75" customHeight="1">
      <c r="D230" s="43"/>
      <c r="K230" s="51"/>
      <c r="L230" s="51"/>
    </row>
    <row r="231" spans="4:12" ht="15.75" customHeight="1">
      <c r="D231" s="43"/>
      <c r="K231" s="51"/>
      <c r="L231" s="51"/>
    </row>
    <row r="232" spans="4:12" ht="15.75" customHeight="1">
      <c r="D232" s="43"/>
      <c r="K232" s="51"/>
      <c r="L232" s="51"/>
    </row>
    <row r="233" spans="4:12" ht="15.75" customHeight="1">
      <c r="D233" s="43"/>
      <c r="K233" s="51"/>
      <c r="L233" s="51"/>
    </row>
    <row r="234" spans="4:12" ht="15.75" customHeight="1">
      <c r="D234" s="43"/>
      <c r="K234" s="51"/>
      <c r="L234" s="51"/>
    </row>
    <row r="235" spans="4:12" ht="15.75" customHeight="1">
      <c r="D235" s="43"/>
      <c r="K235" s="51"/>
      <c r="L235" s="51"/>
    </row>
    <row r="236" spans="4:12" ht="15.75" customHeight="1">
      <c r="D236" s="43"/>
      <c r="K236" s="51"/>
      <c r="L236" s="51"/>
    </row>
    <row r="237" spans="4:12" ht="15.75" customHeight="1">
      <c r="D237" s="43"/>
      <c r="K237" s="51"/>
      <c r="L237" s="51"/>
    </row>
    <row r="238" spans="4:12" ht="15.75" customHeight="1">
      <c r="D238" s="43"/>
      <c r="K238" s="51"/>
      <c r="L238" s="51"/>
    </row>
    <row r="239" spans="4:12" ht="15.75" customHeight="1">
      <c r="D239" s="43"/>
      <c r="K239" s="51"/>
      <c r="L239" s="51"/>
    </row>
    <row r="240" spans="4:12" ht="15.75" customHeight="1">
      <c r="D240" s="43"/>
      <c r="K240" s="51"/>
      <c r="L240" s="51"/>
    </row>
    <row r="241" spans="4:12" ht="15.75" customHeight="1">
      <c r="D241" s="43"/>
      <c r="K241" s="51"/>
      <c r="L241" s="51"/>
    </row>
    <row r="242" spans="4:12" ht="15.75" customHeight="1">
      <c r="D242" s="43"/>
      <c r="K242" s="51"/>
      <c r="L242" s="51"/>
    </row>
    <row r="243" spans="4:12" ht="15.75" customHeight="1">
      <c r="D243" s="43"/>
      <c r="K243" s="51"/>
      <c r="L243" s="51"/>
    </row>
    <row r="244" spans="4:12" ht="15.75" customHeight="1">
      <c r="D244" s="43"/>
      <c r="K244" s="51"/>
      <c r="L244" s="51"/>
    </row>
    <row r="245" spans="4:12" ht="15.75" customHeight="1">
      <c r="D245" s="43"/>
      <c r="K245" s="51"/>
      <c r="L245" s="51"/>
    </row>
    <row r="246" spans="4:12" ht="15.75" customHeight="1">
      <c r="D246" s="43"/>
      <c r="K246" s="51"/>
      <c r="L246" s="51"/>
    </row>
    <row r="247" spans="4:12" ht="15.75" customHeight="1">
      <c r="D247" s="43"/>
      <c r="K247" s="51"/>
      <c r="L247" s="51"/>
    </row>
    <row r="248" spans="4:12" ht="15.75" customHeight="1">
      <c r="D248" s="43"/>
      <c r="K248" s="51"/>
      <c r="L248" s="51"/>
    </row>
    <row r="249" spans="4:12" ht="15.75" customHeight="1">
      <c r="D249" s="43"/>
      <c r="K249" s="51"/>
      <c r="L249" s="51"/>
    </row>
    <row r="250" spans="4:12" ht="15.75" customHeight="1">
      <c r="D250" s="43"/>
      <c r="K250" s="51"/>
      <c r="L250" s="51"/>
    </row>
    <row r="251" spans="4:12" ht="15.75" customHeight="1">
      <c r="D251" s="43"/>
      <c r="K251" s="51"/>
      <c r="L251" s="51"/>
    </row>
    <row r="252" spans="4:12" ht="15.75" customHeight="1">
      <c r="D252" s="43"/>
      <c r="K252" s="51"/>
      <c r="L252" s="51"/>
    </row>
    <row r="253" spans="4:12" ht="15.75" customHeight="1">
      <c r="D253" s="43"/>
      <c r="K253" s="51"/>
      <c r="L253" s="51"/>
    </row>
    <row r="254" spans="4:12" ht="15.75" customHeight="1">
      <c r="D254" s="43"/>
      <c r="K254" s="51"/>
      <c r="L254" s="51"/>
    </row>
    <row r="255" spans="4:12" ht="15.75" customHeight="1">
      <c r="D255" s="43"/>
      <c r="K255" s="51"/>
      <c r="L255" s="51"/>
    </row>
    <row r="256" spans="4:12" ht="15.75" customHeight="1">
      <c r="D256" s="43"/>
      <c r="K256" s="51"/>
      <c r="L256" s="51"/>
    </row>
    <row r="257" spans="4:12" ht="15.75" customHeight="1">
      <c r="D257" s="43"/>
      <c r="K257" s="51"/>
      <c r="L257" s="51"/>
    </row>
    <row r="258" spans="4:12" ht="15.75" customHeight="1">
      <c r="D258" s="43"/>
      <c r="K258" s="51"/>
      <c r="L258" s="51"/>
    </row>
    <row r="259" spans="4:12" ht="15.75" customHeight="1">
      <c r="D259" s="43"/>
      <c r="K259" s="51"/>
      <c r="L259" s="51"/>
    </row>
    <row r="260" spans="4:12" ht="15.75" customHeight="1">
      <c r="D260" s="43"/>
      <c r="K260" s="51"/>
      <c r="L260" s="51"/>
    </row>
    <row r="261" spans="4:12" ht="15.75" customHeight="1">
      <c r="D261" s="43"/>
      <c r="K261" s="51"/>
      <c r="L261" s="51"/>
    </row>
    <row r="262" spans="4:12" ht="15.75" customHeight="1">
      <c r="D262" s="43"/>
      <c r="K262" s="51"/>
      <c r="L262" s="51"/>
    </row>
    <row r="263" spans="4:12" ht="15.75" customHeight="1">
      <c r="D263" s="43"/>
      <c r="K263" s="51"/>
      <c r="L263" s="51"/>
    </row>
    <row r="264" spans="4:12" ht="15.75" customHeight="1">
      <c r="D264" s="43"/>
      <c r="K264" s="51"/>
      <c r="L264" s="51"/>
    </row>
    <row r="265" spans="4:12" ht="15.75" customHeight="1">
      <c r="D265" s="43"/>
      <c r="K265" s="51"/>
      <c r="L265" s="51"/>
    </row>
    <row r="266" spans="4:12" ht="15.75" customHeight="1">
      <c r="D266" s="43"/>
      <c r="K266" s="51"/>
      <c r="L266" s="51"/>
    </row>
    <row r="267" spans="4:12" ht="15.75" customHeight="1">
      <c r="D267" s="43"/>
      <c r="K267" s="51"/>
      <c r="L267" s="51"/>
    </row>
    <row r="268" spans="4:12" ht="15.75" customHeight="1">
      <c r="D268" s="43"/>
      <c r="K268" s="51"/>
      <c r="L268" s="51"/>
    </row>
    <row r="269" spans="4:12" ht="15.75" customHeight="1">
      <c r="D269" s="43"/>
      <c r="K269" s="51"/>
      <c r="L269" s="51"/>
    </row>
    <row r="270" spans="4:12" ht="15.75" customHeight="1">
      <c r="D270" s="43"/>
      <c r="K270" s="51"/>
      <c r="L270" s="51"/>
    </row>
    <row r="271" spans="4:12" ht="15.75" customHeight="1">
      <c r="D271" s="43"/>
      <c r="K271" s="51"/>
      <c r="L271" s="51"/>
    </row>
    <row r="272" spans="4:12" ht="15.75" customHeight="1">
      <c r="D272" s="43"/>
      <c r="K272" s="51"/>
      <c r="L272" s="51"/>
    </row>
    <row r="273" spans="4:12" ht="15.75" customHeight="1">
      <c r="D273" s="43"/>
      <c r="K273" s="51"/>
      <c r="L273" s="51"/>
    </row>
    <row r="274" spans="4:12" ht="15.75" customHeight="1">
      <c r="D274" s="43"/>
      <c r="K274" s="51"/>
      <c r="L274" s="51"/>
    </row>
    <row r="275" spans="4:12" ht="15.75" customHeight="1">
      <c r="D275" s="43"/>
      <c r="K275" s="51"/>
      <c r="L275" s="51"/>
    </row>
    <row r="276" spans="4:12" ht="15.75" customHeight="1">
      <c r="D276" s="43"/>
      <c r="K276" s="51"/>
      <c r="L276" s="51"/>
    </row>
    <row r="277" spans="4:12" ht="15.75" customHeight="1">
      <c r="D277" s="43"/>
      <c r="K277" s="51"/>
      <c r="L277" s="51"/>
    </row>
    <row r="278" spans="4:12" ht="15.75" customHeight="1">
      <c r="D278" s="43"/>
      <c r="K278" s="51"/>
      <c r="L278" s="51"/>
    </row>
    <row r="279" spans="4:12" ht="15.75" customHeight="1">
      <c r="D279" s="43"/>
      <c r="K279" s="51"/>
      <c r="L279" s="51"/>
    </row>
    <row r="280" spans="4:12" ht="15.75" customHeight="1">
      <c r="D280" s="43"/>
      <c r="K280" s="51"/>
      <c r="L280" s="51"/>
    </row>
    <row r="281" spans="4:12" ht="15.75" customHeight="1">
      <c r="D281" s="43"/>
      <c r="K281" s="51"/>
      <c r="L281" s="51"/>
    </row>
    <row r="282" spans="4:12" ht="15.75" customHeight="1">
      <c r="D282" s="43"/>
      <c r="K282" s="51"/>
      <c r="L282" s="51"/>
    </row>
    <row r="283" spans="4:12" ht="15.75" customHeight="1">
      <c r="D283" s="43"/>
      <c r="K283" s="51"/>
      <c r="L283" s="51"/>
    </row>
    <row r="284" spans="4:12" ht="15.75" customHeight="1">
      <c r="D284" s="43"/>
      <c r="K284" s="51"/>
      <c r="L284" s="51"/>
    </row>
    <row r="285" spans="4:12" ht="15.75" customHeight="1">
      <c r="D285" s="43"/>
      <c r="K285" s="51"/>
      <c r="L285" s="51"/>
    </row>
    <row r="286" spans="4:12" ht="15.75" customHeight="1">
      <c r="D286" s="43"/>
      <c r="K286" s="51"/>
      <c r="L286" s="51"/>
    </row>
    <row r="287" spans="4:12" ht="15.75" customHeight="1">
      <c r="D287" s="43"/>
      <c r="K287" s="51"/>
      <c r="L287" s="51"/>
    </row>
    <row r="288" spans="4:12" ht="15.75" customHeight="1">
      <c r="D288" s="43"/>
      <c r="K288" s="51"/>
      <c r="L288" s="51"/>
    </row>
    <row r="289" spans="4:12" ht="15.75" customHeight="1">
      <c r="D289" s="43"/>
      <c r="K289" s="51"/>
      <c r="L289" s="51"/>
    </row>
    <row r="290" spans="4:12" ht="15.75" customHeight="1">
      <c r="D290" s="43"/>
      <c r="K290" s="51"/>
      <c r="L290" s="51"/>
    </row>
    <row r="291" spans="4:12" ht="15.75" customHeight="1">
      <c r="D291" s="43"/>
      <c r="K291" s="51"/>
      <c r="L291" s="51"/>
    </row>
    <row r="292" spans="4:12" ht="15.75" customHeight="1">
      <c r="D292" s="43"/>
      <c r="K292" s="51"/>
      <c r="L292" s="51"/>
    </row>
    <row r="293" spans="4:12" ht="15.75" customHeight="1">
      <c r="D293" s="43"/>
      <c r="K293" s="51"/>
      <c r="L293" s="51"/>
    </row>
    <row r="294" spans="4:12" ht="15.75" customHeight="1">
      <c r="D294" s="43"/>
      <c r="K294" s="51"/>
      <c r="L294" s="51"/>
    </row>
    <row r="295" spans="4:12" ht="15.75" customHeight="1">
      <c r="D295" s="43"/>
      <c r="K295" s="51"/>
      <c r="L295" s="51"/>
    </row>
    <row r="296" spans="4:12" ht="15.75" customHeight="1">
      <c r="D296" s="43"/>
      <c r="K296" s="51"/>
      <c r="L296" s="51"/>
    </row>
    <row r="297" spans="4:12" ht="15.75" customHeight="1">
      <c r="D297" s="43"/>
      <c r="K297" s="51"/>
      <c r="L297" s="51"/>
    </row>
    <row r="298" spans="4:12" ht="15.75" customHeight="1">
      <c r="D298" s="43"/>
      <c r="K298" s="51"/>
      <c r="L298" s="51"/>
    </row>
    <row r="299" spans="4:12" ht="15.75" customHeight="1">
      <c r="D299" s="43"/>
      <c r="K299" s="51"/>
      <c r="L299" s="51"/>
    </row>
    <row r="300" spans="4:12" ht="15.75" customHeight="1">
      <c r="D300" s="43"/>
      <c r="K300" s="51"/>
      <c r="L300" s="51"/>
    </row>
    <row r="301" spans="4:12" ht="15.75" customHeight="1">
      <c r="D301" s="43"/>
      <c r="K301" s="51"/>
      <c r="L301" s="51"/>
    </row>
    <row r="302" spans="4:12" ht="15.75" customHeight="1">
      <c r="D302" s="43"/>
      <c r="K302" s="51"/>
      <c r="L302" s="51"/>
    </row>
    <row r="303" spans="4:12" ht="15.75" customHeight="1">
      <c r="D303" s="43"/>
      <c r="K303" s="51"/>
      <c r="L303" s="51"/>
    </row>
    <row r="304" spans="4:12" ht="15.75" customHeight="1">
      <c r="D304" s="43"/>
      <c r="K304" s="51"/>
      <c r="L304" s="51"/>
    </row>
    <row r="305" spans="4:12" ht="15.75" customHeight="1">
      <c r="D305" s="43"/>
      <c r="K305" s="51"/>
      <c r="L305" s="51"/>
    </row>
    <row r="306" spans="4:12" ht="15.75" customHeight="1">
      <c r="D306" s="43"/>
      <c r="K306" s="51"/>
      <c r="L306" s="51"/>
    </row>
    <row r="307" spans="4:12" ht="15.75" customHeight="1">
      <c r="D307" s="43"/>
      <c r="K307" s="51"/>
      <c r="L307" s="51"/>
    </row>
    <row r="308" spans="4:12" ht="15.75" customHeight="1">
      <c r="D308" s="43"/>
      <c r="K308" s="51"/>
      <c r="L308" s="51"/>
    </row>
    <row r="309" spans="4:12" ht="15.75" customHeight="1">
      <c r="D309" s="43"/>
      <c r="K309" s="51"/>
      <c r="L309" s="51"/>
    </row>
    <row r="310" spans="4:12" ht="15.75" customHeight="1">
      <c r="D310" s="43"/>
      <c r="K310" s="51"/>
      <c r="L310" s="51"/>
    </row>
    <row r="311" spans="4:12" ht="15.75" customHeight="1">
      <c r="D311" s="43"/>
      <c r="K311" s="51"/>
      <c r="L311" s="51"/>
    </row>
    <row r="312" spans="4:12" ht="15.75" customHeight="1">
      <c r="D312" s="43"/>
      <c r="K312" s="51"/>
      <c r="L312" s="51"/>
    </row>
    <row r="313" spans="4:12" ht="15.75" customHeight="1">
      <c r="D313" s="43"/>
      <c r="K313" s="51"/>
      <c r="L313" s="51"/>
    </row>
    <row r="314" spans="4:12" ht="15.75" customHeight="1">
      <c r="D314" s="43"/>
      <c r="K314" s="51"/>
      <c r="L314" s="51"/>
    </row>
    <row r="315" spans="4:12" ht="15.75" customHeight="1">
      <c r="D315" s="43"/>
      <c r="K315" s="51"/>
      <c r="L315" s="51"/>
    </row>
    <row r="316" spans="4:12" ht="15.75" customHeight="1">
      <c r="D316" s="43"/>
      <c r="K316" s="51"/>
      <c r="L316" s="51"/>
    </row>
    <row r="317" spans="4:12" ht="15.75" customHeight="1">
      <c r="D317" s="43"/>
      <c r="K317" s="51"/>
      <c r="L317" s="51"/>
    </row>
    <row r="318" spans="4:12" ht="15.75" customHeight="1">
      <c r="D318" s="43"/>
      <c r="K318" s="51"/>
      <c r="L318" s="51"/>
    </row>
    <row r="319" spans="4:12" ht="15.75" customHeight="1">
      <c r="D319" s="43"/>
      <c r="K319" s="51"/>
      <c r="L319" s="51"/>
    </row>
    <row r="320" spans="4:12" ht="15.75" customHeight="1">
      <c r="D320" s="43"/>
      <c r="K320" s="51"/>
      <c r="L320" s="51"/>
    </row>
    <row r="321" spans="4:12" ht="15.75" customHeight="1">
      <c r="D321" s="43"/>
      <c r="K321" s="51"/>
      <c r="L321" s="51"/>
    </row>
    <row r="322" spans="4:12" ht="15.75" customHeight="1">
      <c r="D322" s="43"/>
      <c r="K322" s="51"/>
      <c r="L322" s="51"/>
    </row>
    <row r="323" spans="4:12" ht="15.75" customHeight="1">
      <c r="D323" s="43"/>
      <c r="K323" s="51"/>
      <c r="L323" s="51"/>
    </row>
    <row r="324" spans="4:12" ht="15.75" customHeight="1">
      <c r="D324" s="43"/>
      <c r="K324" s="51"/>
      <c r="L324" s="51"/>
    </row>
    <row r="325" spans="4:12" ht="15.75" customHeight="1">
      <c r="D325" s="43"/>
      <c r="K325" s="51"/>
      <c r="L325" s="51"/>
    </row>
    <row r="326" spans="4:12" ht="15.75" customHeight="1">
      <c r="D326" s="43"/>
      <c r="K326" s="51"/>
      <c r="L326" s="51"/>
    </row>
    <row r="327" spans="4:12" ht="15.75" customHeight="1">
      <c r="D327" s="43"/>
      <c r="K327" s="51"/>
      <c r="L327" s="51"/>
    </row>
    <row r="328" spans="4:12" ht="15.75" customHeight="1">
      <c r="D328" s="43"/>
      <c r="K328" s="51"/>
      <c r="L328" s="51"/>
    </row>
    <row r="329" spans="4:12" ht="15.75" customHeight="1">
      <c r="D329" s="43"/>
      <c r="K329" s="51"/>
      <c r="L329" s="51"/>
    </row>
    <row r="330" spans="4:12" ht="15.75" customHeight="1">
      <c r="D330" s="43"/>
      <c r="K330" s="51"/>
      <c r="L330" s="51"/>
    </row>
    <row r="331" spans="4:12" ht="15.75" customHeight="1">
      <c r="D331" s="43"/>
      <c r="K331" s="51"/>
      <c r="L331" s="51"/>
    </row>
    <row r="332" spans="4:12" ht="15.75" customHeight="1">
      <c r="D332" s="43"/>
      <c r="K332" s="51"/>
      <c r="L332" s="51"/>
    </row>
    <row r="333" spans="4:12" ht="15.75" customHeight="1">
      <c r="D333" s="43"/>
      <c r="K333" s="51"/>
      <c r="L333" s="51"/>
    </row>
    <row r="334" spans="4:12" ht="15.75" customHeight="1">
      <c r="D334" s="43"/>
      <c r="K334" s="51"/>
      <c r="L334" s="51"/>
    </row>
    <row r="335" spans="4:12" ht="15.75" customHeight="1">
      <c r="D335" s="43"/>
      <c r="K335" s="51"/>
      <c r="L335" s="51"/>
    </row>
    <row r="336" spans="4:12" ht="15.75" customHeight="1">
      <c r="D336" s="43"/>
      <c r="K336" s="51"/>
      <c r="L336" s="51"/>
    </row>
    <row r="337" spans="4:12" ht="15.75" customHeight="1">
      <c r="D337" s="43"/>
      <c r="K337" s="51"/>
      <c r="L337" s="51"/>
    </row>
    <row r="338" spans="4:12" ht="15.75" customHeight="1">
      <c r="D338" s="43"/>
      <c r="K338" s="51"/>
      <c r="L338" s="51"/>
    </row>
    <row r="339" spans="4:12" ht="15.75" customHeight="1">
      <c r="D339" s="43"/>
      <c r="K339" s="51"/>
      <c r="L339" s="51"/>
    </row>
    <row r="340" spans="4:12" ht="15.75" customHeight="1">
      <c r="D340" s="43"/>
      <c r="K340" s="51"/>
      <c r="L340" s="51"/>
    </row>
    <row r="341" spans="4:12" ht="15.75" customHeight="1">
      <c r="D341" s="43"/>
      <c r="K341" s="51"/>
      <c r="L341" s="51"/>
    </row>
    <row r="342" spans="4:12" ht="15.75" customHeight="1">
      <c r="D342" s="43"/>
      <c r="K342" s="51"/>
      <c r="L342" s="51"/>
    </row>
    <row r="343" spans="4:12" ht="15.75" customHeight="1">
      <c r="D343" s="43"/>
      <c r="K343" s="51"/>
      <c r="L343" s="51"/>
    </row>
    <row r="344" spans="4:12" ht="15.75" customHeight="1">
      <c r="D344" s="43"/>
      <c r="K344" s="51"/>
      <c r="L344" s="51"/>
    </row>
    <row r="345" spans="4:12" ht="15.75" customHeight="1">
      <c r="D345" s="43"/>
      <c r="K345" s="51"/>
      <c r="L345" s="51"/>
    </row>
    <row r="346" spans="4:12" ht="15.75" customHeight="1">
      <c r="D346" s="43"/>
      <c r="K346" s="51"/>
      <c r="L346" s="51"/>
    </row>
    <row r="347" spans="4:12" ht="15.75" customHeight="1">
      <c r="D347" s="43"/>
      <c r="K347" s="51"/>
      <c r="L347" s="51"/>
    </row>
    <row r="348" spans="4:12" ht="15.75" customHeight="1">
      <c r="D348" s="43"/>
      <c r="K348" s="51"/>
      <c r="L348" s="51"/>
    </row>
    <row r="349" spans="4:12" ht="15.75" customHeight="1">
      <c r="D349" s="43"/>
      <c r="K349" s="51"/>
      <c r="L349" s="51"/>
    </row>
    <row r="350" spans="4:12" ht="15.75" customHeight="1">
      <c r="D350" s="43"/>
      <c r="K350" s="51"/>
      <c r="L350" s="51"/>
    </row>
    <row r="351" spans="4:12" ht="15.75" customHeight="1">
      <c r="D351" s="43"/>
      <c r="K351" s="51"/>
      <c r="L351" s="51"/>
    </row>
    <row r="352" spans="4:12" ht="15.75" customHeight="1">
      <c r="D352" s="43"/>
      <c r="K352" s="51"/>
      <c r="L352" s="51"/>
    </row>
    <row r="353" spans="4:12" ht="15.75" customHeight="1">
      <c r="D353" s="43"/>
      <c r="K353" s="51"/>
      <c r="L353" s="51"/>
    </row>
    <row r="354" spans="4:12" ht="15.75" customHeight="1">
      <c r="D354" s="43"/>
      <c r="K354" s="51"/>
      <c r="L354" s="51"/>
    </row>
    <row r="355" spans="4:12" ht="15.75" customHeight="1">
      <c r="D355" s="43"/>
      <c r="K355" s="51"/>
      <c r="L355" s="51"/>
    </row>
    <row r="356" spans="4:12" ht="15.75" customHeight="1">
      <c r="D356" s="43"/>
      <c r="K356" s="51"/>
      <c r="L356" s="51"/>
    </row>
    <row r="357" spans="4:12" ht="15.75" customHeight="1">
      <c r="D357" s="43"/>
      <c r="K357" s="51"/>
      <c r="L357" s="51"/>
    </row>
    <row r="358" spans="4:12" ht="15.75" customHeight="1">
      <c r="D358" s="43"/>
      <c r="K358" s="51"/>
      <c r="L358" s="51"/>
    </row>
    <row r="359" spans="4:12" ht="15.75" customHeight="1">
      <c r="D359" s="43"/>
      <c r="K359" s="51"/>
      <c r="L359" s="51"/>
    </row>
    <row r="360" spans="4:12" ht="15.75" customHeight="1">
      <c r="D360" s="43"/>
      <c r="K360" s="51"/>
      <c r="L360" s="51"/>
    </row>
    <row r="361" spans="4:12" ht="15.75" customHeight="1">
      <c r="D361" s="43"/>
      <c r="K361" s="51"/>
      <c r="L361" s="51"/>
    </row>
    <row r="362" spans="4:12" ht="15.75" customHeight="1">
      <c r="D362" s="43"/>
      <c r="K362" s="51"/>
      <c r="L362" s="51"/>
    </row>
    <row r="363" spans="4:12" ht="15.75" customHeight="1">
      <c r="D363" s="43"/>
      <c r="K363" s="51"/>
      <c r="L363" s="51"/>
    </row>
    <row r="364" spans="4:12" ht="15.75" customHeight="1">
      <c r="D364" s="43"/>
      <c r="K364" s="51"/>
      <c r="L364" s="51"/>
    </row>
    <row r="365" spans="4:12" ht="15.75" customHeight="1">
      <c r="D365" s="43"/>
      <c r="K365" s="51"/>
      <c r="L365" s="51"/>
    </row>
    <row r="366" spans="4:12" ht="15.75" customHeight="1">
      <c r="D366" s="43"/>
      <c r="K366" s="51"/>
      <c r="L366" s="51"/>
    </row>
    <row r="367" spans="4:12" ht="15.75" customHeight="1">
      <c r="D367" s="43"/>
      <c r="K367" s="51"/>
      <c r="L367" s="51"/>
    </row>
    <row r="368" spans="4:12" ht="15.75" customHeight="1">
      <c r="D368" s="43"/>
      <c r="K368" s="51"/>
      <c r="L368" s="51"/>
    </row>
    <row r="369" spans="4:12" ht="15.75" customHeight="1">
      <c r="D369" s="43"/>
      <c r="K369" s="51"/>
      <c r="L369" s="51"/>
    </row>
    <row r="370" spans="4:12" ht="15.75" customHeight="1">
      <c r="D370" s="43"/>
      <c r="K370" s="51"/>
      <c r="L370" s="51"/>
    </row>
    <row r="371" spans="4:12" ht="15.75" customHeight="1">
      <c r="D371" s="43"/>
      <c r="K371" s="51"/>
      <c r="L371" s="51"/>
    </row>
    <row r="372" spans="4:12" ht="15.75" customHeight="1">
      <c r="D372" s="43"/>
      <c r="K372" s="51"/>
      <c r="L372" s="51"/>
    </row>
    <row r="373" spans="4:12" ht="15.75" customHeight="1">
      <c r="D373" s="43"/>
      <c r="K373" s="51"/>
      <c r="L373" s="51"/>
    </row>
    <row r="374" spans="4:12" ht="15.75" customHeight="1">
      <c r="D374" s="43"/>
      <c r="K374" s="51"/>
      <c r="L374" s="51"/>
    </row>
    <row r="375" spans="4:12" ht="15.75" customHeight="1">
      <c r="D375" s="43"/>
      <c r="K375" s="51"/>
      <c r="L375" s="51"/>
    </row>
    <row r="376" spans="4:12" ht="15.75" customHeight="1">
      <c r="D376" s="43"/>
      <c r="K376" s="51"/>
      <c r="L376" s="51"/>
    </row>
    <row r="377" spans="4:12" ht="15.75" customHeight="1">
      <c r="D377" s="43"/>
      <c r="K377" s="51"/>
      <c r="L377" s="51"/>
    </row>
    <row r="378" spans="4:12" ht="15.75" customHeight="1">
      <c r="D378" s="43"/>
      <c r="K378" s="51"/>
      <c r="L378" s="51"/>
    </row>
    <row r="379" spans="4:12" ht="15.75" customHeight="1">
      <c r="D379" s="43"/>
      <c r="K379" s="51"/>
      <c r="L379" s="51"/>
    </row>
    <row r="380" spans="4:12" ht="15.75" customHeight="1">
      <c r="D380" s="43"/>
      <c r="K380" s="51"/>
      <c r="L380" s="51"/>
    </row>
    <row r="381" spans="4:12" ht="15.75" customHeight="1">
      <c r="D381" s="43"/>
      <c r="K381" s="51"/>
      <c r="L381" s="51"/>
    </row>
    <row r="382" spans="4:12" ht="15.75" customHeight="1">
      <c r="D382" s="43"/>
      <c r="K382" s="51"/>
      <c r="L382" s="51"/>
    </row>
    <row r="383" spans="4:12" ht="15.75" customHeight="1">
      <c r="D383" s="43"/>
      <c r="K383" s="51"/>
      <c r="L383" s="51"/>
    </row>
    <row r="384" spans="4:12" ht="15.75" customHeight="1">
      <c r="D384" s="43"/>
      <c r="K384" s="51"/>
      <c r="L384" s="51"/>
    </row>
    <row r="385" spans="4:12" ht="15.75" customHeight="1">
      <c r="D385" s="43"/>
      <c r="K385" s="51"/>
      <c r="L385" s="51"/>
    </row>
    <row r="386" spans="4:12" ht="15.75" customHeight="1">
      <c r="D386" s="43"/>
      <c r="K386" s="51"/>
      <c r="L386" s="51"/>
    </row>
    <row r="387" spans="4:12" ht="15.75" customHeight="1">
      <c r="D387" s="43"/>
      <c r="K387" s="51"/>
      <c r="L387" s="51"/>
    </row>
    <row r="388" spans="4:12" ht="15.75" customHeight="1">
      <c r="D388" s="43"/>
      <c r="K388" s="51"/>
      <c r="L388" s="51"/>
    </row>
    <row r="389" spans="4:12" ht="15.75" customHeight="1">
      <c r="D389" s="43"/>
      <c r="K389" s="51"/>
      <c r="L389" s="51"/>
    </row>
    <row r="390" spans="4:12" ht="15.75" customHeight="1">
      <c r="D390" s="43"/>
      <c r="K390" s="51"/>
      <c r="L390" s="51"/>
    </row>
    <row r="391" spans="4:12" ht="15.75" customHeight="1">
      <c r="D391" s="43"/>
      <c r="K391" s="51"/>
      <c r="L391" s="51"/>
    </row>
    <row r="392" spans="4:12" ht="15.75" customHeight="1">
      <c r="D392" s="43"/>
      <c r="K392" s="51"/>
      <c r="L392" s="51"/>
    </row>
    <row r="393" spans="4:12" ht="15.75" customHeight="1">
      <c r="D393" s="43"/>
      <c r="K393" s="51"/>
      <c r="L393" s="51"/>
    </row>
    <row r="394" spans="4:12" ht="15.75" customHeight="1">
      <c r="D394" s="43"/>
      <c r="K394" s="51"/>
      <c r="L394" s="51"/>
    </row>
    <row r="395" spans="4:12" ht="15.75" customHeight="1">
      <c r="D395" s="43"/>
      <c r="K395" s="51"/>
      <c r="L395" s="51"/>
    </row>
    <row r="396" spans="4:12" ht="15.75" customHeight="1">
      <c r="D396" s="43"/>
      <c r="K396" s="51"/>
      <c r="L396" s="51"/>
    </row>
    <row r="397" spans="4:12" ht="15.75" customHeight="1">
      <c r="D397" s="43"/>
      <c r="K397" s="51"/>
      <c r="L397" s="51"/>
    </row>
    <row r="398" spans="4:12" ht="15.75" customHeight="1">
      <c r="D398" s="43"/>
      <c r="K398" s="51"/>
      <c r="L398" s="51"/>
    </row>
    <row r="399" spans="4:12" ht="15.75" customHeight="1">
      <c r="D399" s="43"/>
      <c r="K399" s="51"/>
      <c r="L399" s="51"/>
    </row>
    <row r="400" spans="4:12" ht="15.75" customHeight="1">
      <c r="D400" s="43"/>
      <c r="K400" s="51"/>
      <c r="L400" s="51"/>
    </row>
    <row r="401" spans="4:12" ht="15.75" customHeight="1">
      <c r="D401" s="43"/>
      <c r="K401" s="51"/>
      <c r="L401" s="51"/>
    </row>
    <row r="402" spans="4:12" ht="15.75" customHeight="1">
      <c r="D402" s="43"/>
      <c r="K402" s="51"/>
      <c r="L402" s="51"/>
    </row>
    <row r="403" spans="4:12" ht="15.75" customHeight="1">
      <c r="D403" s="43"/>
      <c r="K403" s="51"/>
      <c r="L403" s="51"/>
    </row>
    <row r="404" spans="4:12" ht="15.75" customHeight="1">
      <c r="D404" s="43"/>
      <c r="K404" s="51"/>
      <c r="L404" s="51"/>
    </row>
    <row r="405" spans="4:12" ht="15.75" customHeight="1">
      <c r="D405" s="43"/>
      <c r="K405" s="51"/>
      <c r="L405" s="51"/>
    </row>
    <row r="406" spans="4:12" ht="15.75" customHeight="1">
      <c r="D406" s="43"/>
      <c r="K406" s="51"/>
      <c r="L406" s="51"/>
    </row>
    <row r="407" spans="4:12" ht="15.75" customHeight="1">
      <c r="D407" s="43"/>
      <c r="K407" s="51"/>
      <c r="L407" s="51"/>
    </row>
    <row r="408" spans="4:12" ht="15.75" customHeight="1">
      <c r="D408" s="43"/>
      <c r="K408" s="51"/>
      <c r="L408" s="51"/>
    </row>
    <row r="409" spans="4:12" ht="15.75" customHeight="1">
      <c r="D409" s="43"/>
      <c r="K409" s="51"/>
      <c r="L409" s="51"/>
    </row>
    <row r="410" spans="4:12" ht="15.75" customHeight="1">
      <c r="D410" s="43"/>
      <c r="K410" s="51"/>
      <c r="L410" s="51"/>
    </row>
    <row r="411" spans="4:12" ht="15.75" customHeight="1">
      <c r="D411" s="43"/>
      <c r="K411" s="51"/>
      <c r="L411" s="51"/>
    </row>
    <row r="412" spans="4:12" ht="15.75" customHeight="1">
      <c r="D412" s="43"/>
      <c r="K412" s="51"/>
      <c r="L412" s="51"/>
    </row>
    <row r="413" spans="4:12" ht="15.75" customHeight="1">
      <c r="D413" s="43"/>
      <c r="K413" s="51"/>
      <c r="L413" s="51"/>
    </row>
    <row r="414" spans="4:12" ht="15.75" customHeight="1">
      <c r="D414" s="43"/>
      <c r="K414" s="51"/>
      <c r="L414" s="51"/>
    </row>
    <row r="415" spans="4:12" ht="15.75" customHeight="1">
      <c r="D415" s="43"/>
      <c r="K415" s="51"/>
      <c r="L415" s="51"/>
    </row>
    <row r="416" spans="4:12" ht="15.75" customHeight="1">
      <c r="D416" s="43"/>
      <c r="K416" s="51"/>
      <c r="L416" s="51"/>
    </row>
    <row r="417" spans="4:12" ht="15.75" customHeight="1">
      <c r="D417" s="43"/>
      <c r="K417" s="51"/>
      <c r="L417" s="51"/>
    </row>
    <row r="418" spans="4:12" ht="15.75" customHeight="1">
      <c r="D418" s="43"/>
      <c r="K418" s="51"/>
      <c r="L418" s="51"/>
    </row>
    <row r="419" spans="4:12" ht="15.75" customHeight="1">
      <c r="D419" s="43"/>
      <c r="K419" s="51"/>
      <c r="L419" s="51"/>
    </row>
    <row r="420" spans="4:12" ht="15.75" customHeight="1">
      <c r="D420" s="43"/>
      <c r="K420" s="51"/>
      <c r="L420" s="51"/>
    </row>
    <row r="421" spans="4:12" ht="15.75" customHeight="1">
      <c r="D421" s="43"/>
      <c r="K421" s="51"/>
      <c r="L421" s="51"/>
    </row>
    <row r="422" spans="4:12" ht="15.75" customHeight="1">
      <c r="D422" s="43"/>
      <c r="K422" s="51"/>
      <c r="L422" s="51"/>
    </row>
    <row r="423" spans="4:12" ht="15.75" customHeight="1">
      <c r="D423" s="43"/>
      <c r="K423" s="51"/>
      <c r="L423" s="51"/>
    </row>
    <row r="424" spans="4:12" ht="15.75" customHeight="1">
      <c r="D424" s="43"/>
      <c r="K424" s="51"/>
      <c r="L424" s="51"/>
    </row>
    <row r="425" spans="4:12" ht="15.75" customHeight="1">
      <c r="D425" s="43"/>
      <c r="K425" s="51"/>
      <c r="L425" s="51"/>
    </row>
    <row r="426" spans="4:12" ht="15.75" customHeight="1">
      <c r="D426" s="43"/>
      <c r="K426" s="51"/>
      <c r="L426" s="51"/>
    </row>
    <row r="427" spans="4:12" ht="15.75" customHeight="1">
      <c r="D427" s="43"/>
      <c r="K427" s="51"/>
      <c r="L427" s="51"/>
    </row>
    <row r="428" spans="4:12" ht="15.75" customHeight="1">
      <c r="D428" s="43"/>
      <c r="K428" s="51"/>
      <c r="L428" s="51"/>
    </row>
    <row r="429" spans="4:12" ht="15.75" customHeight="1">
      <c r="D429" s="43"/>
      <c r="K429" s="51"/>
      <c r="L429" s="51"/>
    </row>
    <row r="430" spans="4:12" ht="15.75" customHeight="1">
      <c r="D430" s="43"/>
      <c r="K430" s="51"/>
      <c r="L430" s="51"/>
    </row>
    <row r="431" spans="4:12" ht="15.75" customHeight="1">
      <c r="D431" s="43"/>
      <c r="K431" s="51"/>
      <c r="L431" s="51"/>
    </row>
    <row r="432" spans="4:12" ht="15.75" customHeight="1">
      <c r="D432" s="43"/>
      <c r="K432" s="51"/>
      <c r="L432" s="51"/>
    </row>
    <row r="433" spans="4:12" ht="15.75" customHeight="1">
      <c r="D433" s="43"/>
      <c r="K433" s="51"/>
      <c r="L433" s="51"/>
    </row>
    <row r="434" spans="4:12" ht="15.75" customHeight="1">
      <c r="D434" s="43"/>
      <c r="K434" s="51"/>
      <c r="L434" s="51"/>
    </row>
    <row r="435" spans="4:12" ht="15.75" customHeight="1">
      <c r="D435" s="43"/>
      <c r="K435" s="51"/>
      <c r="L435" s="51"/>
    </row>
    <row r="436" spans="4:12" ht="15.75" customHeight="1">
      <c r="D436" s="43"/>
      <c r="K436" s="51"/>
      <c r="L436" s="51"/>
    </row>
    <row r="437" spans="4:12" ht="15.75" customHeight="1">
      <c r="D437" s="43"/>
      <c r="K437" s="51"/>
      <c r="L437" s="51"/>
    </row>
    <row r="438" spans="4:12" ht="15.75" customHeight="1">
      <c r="D438" s="43"/>
      <c r="K438" s="51"/>
      <c r="L438" s="51"/>
    </row>
    <row r="439" spans="4:12" ht="15.75" customHeight="1">
      <c r="D439" s="43"/>
      <c r="K439" s="51"/>
      <c r="L439" s="51"/>
    </row>
    <row r="440" spans="4:12" ht="15.75" customHeight="1">
      <c r="D440" s="43"/>
      <c r="K440" s="51"/>
      <c r="L440" s="51"/>
    </row>
    <row r="441" spans="4:12" ht="15.75" customHeight="1">
      <c r="D441" s="43"/>
      <c r="K441" s="51"/>
      <c r="L441" s="51"/>
    </row>
    <row r="442" spans="4:12" ht="15.75" customHeight="1">
      <c r="D442" s="43"/>
      <c r="K442" s="51"/>
      <c r="L442" s="51"/>
    </row>
    <row r="443" spans="4:12" ht="15.75" customHeight="1">
      <c r="D443" s="43"/>
      <c r="K443" s="51"/>
      <c r="L443" s="51"/>
    </row>
    <row r="444" spans="4:12" ht="15.75" customHeight="1">
      <c r="D444" s="43"/>
      <c r="K444" s="51"/>
      <c r="L444" s="51"/>
    </row>
    <row r="445" spans="4:12" ht="15.75" customHeight="1">
      <c r="D445" s="43"/>
      <c r="K445" s="51"/>
      <c r="L445" s="51"/>
    </row>
    <row r="446" spans="4:12" ht="15.75" customHeight="1">
      <c r="D446" s="43"/>
      <c r="K446" s="51"/>
      <c r="L446" s="51"/>
    </row>
    <row r="447" spans="4:12" ht="15.75" customHeight="1">
      <c r="D447" s="43"/>
      <c r="K447" s="51"/>
      <c r="L447" s="51"/>
    </row>
    <row r="448" spans="4:12" ht="15.75" customHeight="1">
      <c r="D448" s="43"/>
      <c r="K448" s="51"/>
      <c r="L448" s="51"/>
    </row>
    <row r="449" spans="4:12" ht="15.75" customHeight="1">
      <c r="D449" s="43"/>
      <c r="K449" s="51"/>
      <c r="L449" s="51"/>
    </row>
    <row r="450" spans="4:12" ht="15.75" customHeight="1">
      <c r="D450" s="43"/>
      <c r="K450" s="51"/>
      <c r="L450" s="51"/>
    </row>
    <row r="451" spans="4:12" ht="15.75" customHeight="1">
      <c r="D451" s="43"/>
      <c r="K451" s="51"/>
      <c r="L451" s="51"/>
    </row>
    <row r="452" spans="4:12" ht="15.75" customHeight="1">
      <c r="D452" s="43"/>
      <c r="K452" s="51"/>
      <c r="L452" s="51"/>
    </row>
    <row r="453" spans="4:12" ht="15.75" customHeight="1">
      <c r="D453" s="43"/>
      <c r="K453" s="51"/>
      <c r="L453" s="51"/>
    </row>
    <row r="454" spans="4:12" ht="15.75" customHeight="1">
      <c r="D454" s="43"/>
      <c r="K454" s="51"/>
      <c r="L454" s="51"/>
    </row>
    <row r="455" spans="4:12" ht="15.75" customHeight="1">
      <c r="D455" s="43"/>
      <c r="K455" s="51"/>
      <c r="L455" s="51"/>
    </row>
    <row r="456" spans="4:12" ht="15.75" customHeight="1">
      <c r="D456" s="43"/>
      <c r="K456" s="51"/>
      <c r="L456" s="51"/>
    </row>
    <row r="457" spans="4:12" ht="15.75" customHeight="1">
      <c r="D457" s="43"/>
      <c r="K457" s="51"/>
      <c r="L457" s="51"/>
    </row>
    <row r="458" spans="4:12" ht="15.75" customHeight="1">
      <c r="D458" s="43"/>
      <c r="K458" s="51"/>
      <c r="L458" s="51"/>
    </row>
    <row r="459" spans="4:12" ht="15.75" customHeight="1">
      <c r="D459" s="43"/>
      <c r="K459" s="51"/>
      <c r="L459" s="51"/>
    </row>
    <row r="460" spans="4:12" ht="15.75" customHeight="1">
      <c r="D460" s="43"/>
      <c r="K460" s="51"/>
      <c r="L460" s="51"/>
    </row>
    <row r="461" spans="4:12" ht="15.75" customHeight="1">
      <c r="D461" s="43"/>
      <c r="K461" s="51"/>
      <c r="L461" s="51"/>
    </row>
    <row r="462" spans="4:12" ht="15.75" customHeight="1">
      <c r="D462" s="43"/>
      <c r="K462" s="51"/>
      <c r="L462" s="51"/>
    </row>
    <row r="463" spans="4:12" ht="15.75" customHeight="1">
      <c r="D463" s="43"/>
      <c r="K463" s="51"/>
      <c r="L463" s="51"/>
    </row>
    <row r="464" spans="4:12" ht="15.75" customHeight="1">
      <c r="D464" s="43"/>
      <c r="K464" s="51"/>
      <c r="L464" s="51"/>
    </row>
    <row r="465" spans="4:12" ht="15.75" customHeight="1">
      <c r="D465" s="43"/>
      <c r="K465" s="51"/>
      <c r="L465" s="51"/>
    </row>
    <row r="466" spans="4:12" ht="15.75" customHeight="1">
      <c r="D466" s="43"/>
      <c r="K466" s="51"/>
      <c r="L466" s="51"/>
    </row>
    <row r="467" spans="4:12" ht="15.75" customHeight="1">
      <c r="D467" s="43"/>
      <c r="K467" s="51"/>
      <c r="L467" s="51"/>
    </row>
    <row r="468" spans="4:12" ht="15.75" customHeight="1">
      <c r="D468" s="43"/>
      <c r="K468" s="51"/>
      <c r="L468" s="51"/>
    </row>
    <row r="469" spans="4:12" ht="15.75" customHeight="1">
      <c r="D469" s="43"/>
      <c r="K469" s="51"/>
      <c r="L469" s="51"/>
    </row>
    <row r="470" spans="4:12" ht="15.75" customHeight="1">
      <c r="D470" s="43"/>
      <c r="K470" s="51"/>
      <c r="L470" s="51"/>
    </row>
    <row r="471" spans="4:12" ht="15.75" customHeight="1">
      <c r="D471" s="43"/>
      <c r="K471" s="51"/>
      <c r="L471" s="51"/>
    </row>
    <row r="472" spans="4:12" ht="15.75" customHeight="1">
      <c r="D472" s="43"/>
      <c r="K472" s="51"/>
      <c r="L472" s="51"/>
    </row>
    <row r="473" spans="4:12" ht="15.75" customHeight="1">
      <c r="D473" s="43"/>
      <c r="K473" s="51"/>
      <c r="L473" s="51"/>
    </row>
    <row r="474" spans="4:12" ht="15.75" customHeight="1">
      <c r="D474" s="43"/>
      <c r="K474" s="51"/>
      <c r="L474" s="51"/>
    </row>
    <row r="475" spans="4:12" ht="15.75" customHeight="1">
      <c r="D475" s="43"/>
      <c r="K475" s="51"/>
      <c r="L475" s="51"/>
    </row>
    <row r="476" spans="4:12" ht="15.75" customHeight="1">
      <c r="D476" s="43"/>
      <c r="K476" s="51"/>
      <c r="L476" s="51"/>
    </row>
    <row r="477" spans="4:12" ht="15.75" customHeight="1">
      <c r="D477" s="43"/>
      <c r="K477" s="51"/>
      <c r="L477" s="51"/>
    </row>
    <row r="478" spans="4:12" ht="15.75" customHeight="1">
      <c r="D478" s="43"/>
      <c r="K478" s="51"/>
      <c r="L478" s="51"/>
    </row>
    <row r="479" spans="4:12" ht="15.75" customHeight="1">
      <c r="D479" s="43"/>
      <c r="K479" s="51"/>
      <c r="L479" s="51"/>
    </row>
    <row r="480" spans="4:12" ht="15.75" customHeight="1">
      <c r="D480" s="43"/>
      <c r="K480" s="51"/>
      <c r="L480" s="51"/>
    </row>
    <row r="481" spans="4:12" ht="15.75" customHeight="1">
      <c r="D481" s="43"/>
      <c r="K481" s="51"/>
      <c r="L481" s="51"/>
    </row>
    <row r="482" spans="4:12" ht="15.75" customHeight="1">
      <c r="D482" s="43"/>
      <c r="K482" s="51"/>
      <c r="L482" s="51"/>
    </row>
    <row r="483" spans="4:12" ht="15.75" customHeight="1">
      <c r="D483" s="43"/>
      <c r="K483" s="51"/>
      <c r="L483" s="51"/>
    </row>
    <row r="484" spans="4:12" ht="15.75" customHeight="1">
      <c r="D484" s="43"/>
      <c r="K484" s="51"/>
      <c r="L484" s="51"/>
    </row>
    <row r="485" spans="4:12" ht="15.75" customHeight="1">
      <c r="D485" s="43"/>
      <c r="K485" s="51"/>
      <c r="L485" s="51"/>
    </row>
    <row r="486" spans="4:12" ht="15.75" customHeight="1">
      <c r="D486" s="43"/>
      <c r="K486" s="51"/>
      <c r="L486" s="51"/>
    </row>
    <row r="487" spans="4:12" ht="15.75" customHeight="1">
      <c r="D487" s="43"/>
      <c r="K487" s="51"/>
      <c r="L487" s="51"/>
    </row>
    <row r="488" spans="4:12" ht="15.75" customHeight="1">
      <c r="D488" s="43"/>
      <c r="K488" s="51"/>
      <c r="L488" s="51"/>
    </row>
    <row r="489" spans="4:12" ht="15.75" customHeight="1">
      <c r="D489" s="43"/>
      <c r="K489" s="51"/>
      <c r="L489" s="51"/>
    </row>
    <row r="490" spans="4:12" ht="15.75" customHeight="1">
      <c r="D490" s="43"/>
      <c r="K490" s="51"/>
      <c r="L490" s="51"/>
    </row>
    <row r="491" spans="4:12" ht="15.75" customHeight="1">
      <c r="D491" s="43"/>
      <c r="K491" s="51"/>
      <c r="L491" s="51"/>
    </row>
    <row r="492" spans="4:12" ht="15.75" customHeight="1">
      <c r="D492" s="43"/>
      <c r="K492" s="51"/>
      <c r="L492" s="51"/>
    </row>
    <row r="493" spans="4:12" ht="15.75" customHeight="1">
      <c r="D493" s="43"/>
      <c r="K493" s="51"/>
      <c r="L493" s="51"/>
    </row>
    <row r="494" spans="4:12" ht="15.75" customHeight="1">
      <c r="D494" s="43"/>
      <c r="K494" s="51"/>
      <c r="L494" s="51"/>
    </row>
    <row r="495" spans="4:12" ht="15.75" customHeight="1">
      <c r="D495" s="43"/>
      <c r="K495" s="51"/>
      <c r="L495" s="51"/>
    </row>
    <row r="496" spans="4:12" ht="15.75" customHeight="1">
      <c r="D496" s="43"/>
      <c r="K496" s="51"/>
      <c r="L496" s="51"/>
    </row>
    <row r="497" spans="4:12" ht="15.75" customHeight="1">
      <c r="D497" s="43"/>
      <c r="K497" s="51"/>
      <c r="L497" s="51"/>
    </row>
    <row r="498" spans="4:12" ht="15.75" customHeight="1">
      <c r="D498" s="43"/>
      <c r="K498" s="51"/>
      <c r="L498" s="51"/>
    </row>
    <row r="499" spans="4:12" ht="15.75" customHeight="1">
      <c r="D499" s="43"/>
      <c r="K499" s="51"/>
      <c r="L499" s="51"/>
    </row>
    <row r="500" spans="4:12" ht="15.75" customHeight="1">
      <c r="D500" s="43"/>
      <c r="K500" s="51"/>
      <c r="L500" s="51"/>
    </row>
    <row r="501" spans="4:12" ht="15.75" customHeight="1">
      <c r="D501" s="43"/>
      <c r="K501" s="51"/>
      <c r="L501" s="51"/>
    </row>
    <row r="502" spans="4:12" ht="15.75" customHeight="1">
      <c r="D502" s="43"/>
      <c r="K502" s="51"/>
      <c r="L502" s="51"/>
    </row>
    <row r="503" spans="4:12" ht="15.75" customHeight="1">
      <c r="D503" s="43"/>
      <c r="K503" s="51"/>
      <c r="L503" s="51"/>
    </row>
    <row r="504" spans="4:12" ht="15.75" customHeight="1">
      <c r="D504" s="43"/>
      <c r="K504" s="51"/>
      <c r="L504" s="51"/>
    </row>
    <row r="505" spans="4:12" ht="15.75" customHeight="1">
      <c r="D505" s="43"/>
      <c r="K505" s="51"/>
      <c r="L505" s="51"/>
    </row>
    <row r="506" spans="4:12" ht="15.75" customHeight="1">
      <c r="D506" s="43"/>
      <c r="K506" s="51"/>
      <c r="L506" s="51"/>
    </row>
    <row r="507" spans="4:12" ht="15.75" customHeight="1">
      <c r="D507" s="43"/>
      <c r="K507" s="51"/>
      <c r="L507" s="51"/>
    </row>
    <row r="508" spans="4:12" ht="15.75" customHeight="1">
      <c r="D508" s="43"/>
      <c r="K508" s="51"/>
      <c r="L508" s="51"/>
    </row>
    <row r="509" spans="4:12" ht="15.75" customHeight="1">
      <c r="D509" s="43"/>
      <c r="K509" s="51"/>
      <c r="L509" s="51"/>
    </row>
    <row r="510" spans="4:12" ht="15.75" customHeight="1">
      <c r="D510" s="43"/>
      <c r="K510" s="51"/>
      <c r="L510" s="51"/>
    </row>
    <row r="511" spans="4:12" ht="15.75" customHeight="1">
      <c r="D511" s="43"/>
      <c r="K511" s="51"/>
      <c r="L511" s="51"/>
    </row>
    <row r="512" spans="4:12" ht="15.75" customHeight="1">
      <c r="D512" s="43"/>
      <c r="K512" s="51"/>
      <c r="L512" s="51"/>
    </row>
    <row r="513" spans="4:12" ht="15.75" customHeight="1">
      <c r="D513" s="43"/>
      <c r="K513" s="51"/>
      <c r="L513" s="51"/>
    </row>
    <row r="514" spans="4:12" ht="15.75" customHeight="1">
      <c r="D514" s="43"/>
      <c r="K514" s="51"/>
      <c r="L514" s="51"/>
    </row>
    <row r="515" spans="4:12" ht="15.75" customHeight="1">
      <c r="D515" s="43"/>
      <c r="K515" s="51"/>
      <c r="L515" s="51"/>
    </row>
    <row r="516" spans="4:12" ht="15.75" customHeight="1">
      <c r="D516" s="43"/>
      <c r="K516" s="51"/>
      <c r="L516" s="51"/>
    </row>
    <row r="517" spans="4:12" ht="15.75" customHeight="1">
      <c r="D517" s="43"/>
      <c r="K517" s="51"/>
      <c r="L517" s="51"/>
    </row>
    <row r="518" spans="4:12" ht="15.75" customHeight="1">
      <c r="D518" s="43"/>
      <c r="K518" s="51"/>
      <c r="L518" s="51"/>
    </row>
    <row r="519" spans="4:12" ht="15.75" customHeight="1">
      <c r="D519" s="43"/>
      <c r="K519" s="51"/>
      <c r="L519" s="51"/>
    </row>
    <row r="520" spans="4:12" ht="15.75" customHeight="1">
      <c r="D520" s="43"/>
      <c r="K520" s="51"/>
      <c r="L520" s="51"/>
    </row>
    <row r="521" spans="4:12" ht="15.75" customHeight="1">
      <c r="D521" s="43"/>
      <c r="K521" s="51"/>
      <c r="L521" s="51"/>
    </row>
    <row r="522" spans="4:12" ht="15.75" customHeight="1">
      <c r="D522" s="43"/>
      <c r="K522" s="51"/>
      <c r="L522" s="51"/>
    </row>
    <row r="523" spans="4:12" ht="15.75" customHeight="1">
      <c r="D523" s="43"/>
      <c r="K523" s="51"/>
      <c r="L523" s="51"/>
    </row>
    <row r="524" spans="4:12" ht="15.75" customHeight="1">
      <c r="D524" s="43"/>
      <c r="K524" s="51"/>
      <c r="L524" s="51"/>
    </row>
    <row r="525" spans="4:12" ht="15.75" customHeight="1">
      <c r="D525" s="43"/>
      <c r="K525" s="51"/>
      <c r="L525" s="51"/>
    </row>
    <row r="526" spans="4:12" ht="15.75" customHeight="1">
      <c r="D526" s="43"/>
      <c r="K526" s="51"/>
      <c r="L526" s="51"/>
    </row>
    <row r="527" spans="4:12" ht="15.75" customHeight="1">
      <c r="D527" s="43"/>
      <c r="K527" s="51"/>
      <c r="L527" s="51"/>
    </row>
    <row r="528" spans="4:12" ht="15.75" customHeight="1">
      <c r="D528" s="43"/>
      <c r="K528" s="51"/>
      <c r="L528" s="51"/>
    </row>
    <row r="529" spans="4:12" ht="15.75" customHeight="1">
      <c r="D529" s="43"/>
      <c r="K529" s="51"/>
      <c r="L529" s="51"/>
    </row>
    <row r="530" spans="4:12" ht="15.75" customHeight="1">
      <c r="D530" s="43"/>
      <c r="K530" s="51"/>
      <c r="L530" s="51"/>
    </row>
    <row r="531" spans="4:12" ht="15.75" customHeight="1">
      <c r="D531" s="43"/>
      <c r="K531" s="51"/>
      <c r="L531" s="51"/>
    </row>
    <row r="532" spans="4:12" ht="15.75" customHeight="1">
      <c r="D532" s="43"/>
      <c r="K532" s="51"/>
      <c r="L532" s="51"/>
    </row>
    <row r="533" spans="4:12" ht="15.75" customHeight="1">
      <c r="D533" s="43"/>
      <c r="K533" s="51"/>
      <c r="L533" s="51"/>
    </row>
    <row r="534" spans="4:12" ht="15.75" customHeight="1">
      <c r="D534" s="43"/>
      <c r="K534" s="51"/>
      <c r="L534" s="51"/>
    </row>
    <row r="535" spans="4:12" ht="15.75" customHeight="1">
      <c r="D535" s="43"/>
      <c r="K535" s="51"/>
      <c r="L535" s="51"/>
    </row>
    <row r="536" spans="4:12" ht="15.75" customHeight="1">
      <c r="D536" s="43"/>
      <c r="K536" s="51"/>
      <c r="L536" s="51"/>
    </row>
    <row r="537" spans="4:12" ht="15.75" customHeight="1">
      <c r="D537" s="43"/>
      <c r="K537" s="51"/>
      <c r="L537" s="51"/>
    </row>
    <row r="538" spans="4:12" ht="15.75" customHeight="1">
      <c r="D538" s="43"/>
      <c r="K538" s="51"/>
      <c r="L538" s="51"/>
    </row>
    <row r="539" spans="4:12" ht="15.75" customHeight="1">
      <c r="D539" s="43"/>
      <c r="K539" s="51"/>
      <c r="L539" s="51"/>
    </row>
    <row r="540" spans="4:12" ht="15.75" customHeight="1">
      <c r="D540" s="43"/>
      <c r="K540" s="51"/>
      <c r="L540" s="51"/>
    </row>
    <row r="541" spans="4:12" ht="15.75" customHeight="1">
      <c r="D541" s="43"/>
      <c r="K541" s="51"/>
      <c r="L541" s="51"/>
    </row>
    <row r="542" spans="4:12" ht="15.75" customHeight="1">
      <c r="D542" s="43"/>
      <c r="K542" s="51"/>
      <c r="L542" s="51"/>
    </row>
    <row r="543" spans="4:12" ht="15.75" customHeight="1">
      <c r="D543" s="43"/>
      <c r="K543" s="51"/>
      <c r="L543" s="51"/>
    </row>
    <row r="544" spans="4:12" ht="15.75" customHeight="1">
      <c r="D544" s="43"/>
      <c r="K544" s="51"/>
      <c r="L544" s="51"/>
    </row>
    <row r="545" spans="4:12" ht="15.75" customHeight="1">
      <c r="D545" s="43"/>
      <c r="K545" s="51"/>
      <c r="L545" s="51"/>
    </row>
    <row r="546" spans="4:12" ht="15.75" customHeight="1">
      <c r="D546" s="43"/>
      <c r="K546" s="51"/>
      <c r="L546" s="51"/>
    </row>
    <row r="547" spans="4:12" ht="15.75" customHeight="1">
      <c r="D547" s="43"/>
      <c r="K547" s="51"/>
      <c r="L547" s="51"/>
    </row>
    <row r="548" spans="4:12" ht="15.75" customHeight="1">
      <c r="D548" s="43"/>
      <c r="K548" s="51"/>
      <c r="L548" s="51"/>
    </row>
    <row r="549" spans="4:12" ht="15.75" customHeight="1">
      <c r="D549" s="43"/>
      <c r="K549" s="51"/>
      <c r="L549" s="51"/>
    </row>
    <row r="550" spans="4:12" ht="15.75" customHeight="1">
      <c r="D550" s="43"/>
      <c r="K550" s="51"/>
      <c r="L550" s="51"/>
    </row>
    <row r="551" spans="4:12" ht="15.75" customHeight="1">
      <c r="D551" s="43"/>
      <c r="K551" s="51"/>
      <c r="L551" s="51"/>
    </row>
    <row r="552" spans="4:12" ht="15.75" customHeight="1">
      <c r="D552" s="43"/>
      <c r="K552" s="51"/>
      <c r="L552" s="51"/>
    </row>
    <row r="553" spans="4:12" ht="15.75" customHeight="1">
      <c r="D553" s="43"/>
      <c r="K553" s="51"/>
      <c r="L553" s="51"/>
    </row>
    <row r="554" spans="4:12" ht="15.75" customHeight="1">
      <c r="D554" s="43"/>
      <c r="K554" s="51"/>
      <c r="L554" s="51"/>
    </row>
    <row r="555" spans="4:12" ht="15.75" customHeight="1">
      <c r="D555" s="43"/>
      <c r="K555" s="51"/>
      <c r="L555" s="51"/>
    </row>
    <row r="556" spans="4:12" ht="15.75" customHeight="1">
      <c r="D556" s="43"/>
      <c r="K556" s="51"/>
      <c r="L556" s="51"/>
    </row>
    <row r="557" spans="4:12" ht="15.75" customHeight="1">
      <c r="D557" s="43"/>
      <c r="K557" s="51"/>
      <c r="L557" s="51"/>
    </row>
    <row r="558" spans="4:12" ht="15.75" customHeight="1">
      <c r="D558" s="43"/>
      <c r="K558" s="51"/>
      <c r="L558" s="51"/>
    </row>
    <row r="559" spans="4:12" ht="15.75" customHeight="1">
      <c r="D559" s="43"/>
      <c r="K559" s="51"/>
      <c r="L559" s="51"/>
    </row>
    <row r="560" spans="4:12" ht="15.75" customHeight="1">
      <c r="D560" s="43"/>
      <c r="K560" s="51"/>
      <c r="L560" s="51"/>
    </row>
    <row r="561" spans="4:12" ht="15.75" customHeight="1">
      <c r="D561" s="43"/>
      <c r="K561" s="51"/>
      <c r="L561" s="51"/>
    </row>
    <row r="562" spans="4:12" ht="15.75" customHeight="1">
      <c r="D562" s="43"/>
      <c r="K562" s="51"/>
      <c r="L562" s="51"/>
    </row>
    <row r="563" spans="4:12" ht="15.75" customHeight="1">
      <c r="D563" s="43"/>
      <c r="K563" s="51"/>
      <c r="L563" s="51"/>
    </row>
    <row r="564" spans="4:12" ht="15.75" customHeight="1">
      <c r="D564" s="43"/>
      <c r="K564" s="51"/>
      <c r="L564" s="51"/>
    </row>
    <row r="565" spans="4:12" ht="15.75" customHeight="1">
      <c r="D565" s="43"/>
      <c r="K565" s="51"/>
      <c r="L565" s="51"/>
    </row>
    <row r="566" spans="4:12" ht="15.75" customHeight="1">
      <c r="D566" s="43"/>
      <c r="K566" s="51"/>
      <c r="L566" s="51"/>
    </row>
    <row r="567" spans="4:12" ht="15.75" customHeight="1">
      <c r="D567" s="43"/>
      <c r="K567" s="51"/>
      <c r="L567" s="51"/>
    </row>
    <row r="568" spans="4:12" ht="15.75" customHeight="1">
      <c r="D568" s="43"/>
      <c r="K568" s="51"/>
      <c r="L568" s="51"/>
    </row>
    <row r="569" spans="4:12" ht="15.75" customHeight="1">
      <c r="D569" s="43"/>
      <c r="K569" s="51"/>
      <c r="L569" s="51"/>
    </row>
    <row r="570" spans="4:12" ht="15.75" customHeight="1">
      <c r="D570" s="43"/>
      <c r="K570" s="51"/>
      <c r="L570" s="51"/>
    </row>
    <row r="571" spans="4:12" ht="15.75" customHeight="1">
      <c r="D571" s="43"/>
      <c r="K571" s="51"/>
      <c r="L571" s="51"/>
    </row>
    <row r="572" spans="4:12" ht="15.75" customHeight="1">
      <c r="D572" s="43"/>
      <c r="K572" s="51"/>
      <c r="L572" s="51"/>
    </row>
    <row r="573" spans="4:12" ht="15.75" customHeight="1">
      <c r="D573" s="43"/>
      <c r="K573" s="51"/>
      <c r="L573" s="51"/>
    </row>
    <row r="574" spans="4:12" ht="15.75" customHeight="1">
      <c r="D574" s="43"/>
      <c r="K574" s="51"/>
      <c r="L574" s="51"/>
    </row>
    <row r="575" spans="4:12" ht="15.75" customHeight="1">
      <c r="D575" s="43"/>
      <c r="K575" s="51"/>
      <c r="L575" s="51"/>
    </row>
    <row r="576" spans="4:12" ht="15.75" customHeight="1">
      <c r="D576" s="43"/>
      <c r="K576" s="51"/>
      <c r="L576" s="51"/>
    </row>
    <row r="577" spans="4:12" ht="15.75" customHeight="1">
      <c r="D577" s="43"/>
      <c r="K577" s="51"/>
      <c r="L577" s="51"/>
    </row>
    <row r="578" spans="4:12" ht="15.75" customHeight="1">
      <c r="D578" s="43"/>
      <c r="K578" s="51"/>
      <c r="L578" s="51"/>
    </row>
    <row r="579" spans="4:12" ht="15.75" customHeight="1">
      <c r="D579" s="43"/>
      <c r="K579" s="51"/>
      <c r="L579" s="51"/>
    </row>
    <row r="580" spans="4:12" ht="15.75" customHeight="1">
      <c r="D580" s="43"/>
      <c r="K580" s="51"/>
      <c r="L580" s="51"/>
    </row>
    <row r="581" spans="4:12" ht="15.75" customHeight="1">
      <c r="D581" s="43"/>
      <c r="K581" s="51"/>
      <c r="L581" s="51"/>
    </row>
    <row r="582" spans="4:12" ht="15.75" customHeight="1">
      <c r="D582" s="43"/>
      <c r="K582" s="51"/>
      <c r="L582" s="51"/>
    </row>
    <row r="583" spans="4:12" ht="15.75" customHeight="1">
      <c r="D583" s="43"/>
      <c r="K583" s="51"/>
      <c r="L583" s="51"/>
    </row>
    <row r="584" spans="4:12" ht="15.75" customHeight="1">
      <c r="D584" s="43"/>
      <c r="K584" s="51"/>
      <c r="L584" s="51"/>
    </row>
    <row r="585" spans="4:12" ht="15.75" customHeight="1">
      <c r="D585" s="43"/>
      <c r="K585" s="51"/>
      <c r="L585" s="51"/>
    </row>
    <row r="586" spans="4:12" ht="15.75" customHeight="1">
      <c r="D586" s="43"/>
      <c r="K586" s="51"/>
      <c r="L586" s="51"/>
    </row>
    <row r="587" spans="4:12" ht="15.75" customHeight="1">
      <c r="D587" s="43"/>
      <c r="K587" s="51"/>
      <c r="L587" s="51"/>
    </row>
    <row r="588" spans="4:12" ht="15.75" customHeight="1">
      <c r="D588" s="43"/>
      <c r="K588" s="51"/>
      <c r="L588" s="51"/>
    </row>
    <row r="589" spans="4:12" ht="15.75" customHeight="1">
      <c r="D589" s="43"/>
      <c r="K589" s="51"/>
      <c r="L589" s="51"/>
    </row>
    <row r="590" spans="4:12" ht="15.75" customHeight="1">
      <c r="D590" s="43"/>
      <c r="K590" s="51"/>
      <c r="L590" s="51"/>
    </row>
    <row r="591" spans="4:12" ht="15.75" customHeight="1">
      <c r="D591" s="43"/>
      <c r="K591" s="51"/>
      <c r="L591" s="51"/>
    </row>
    <row r="592" spans="4:12" ht="15.75" customHeight="1">
      <c r="D592" s="43"/>
      <c r="K592" s="51"/>
      <c r="L592" s="51"/>
    </row>
    <row r="593" spans="4:12" ht="15.75" customHeight="1">
      <c r="D593" s="43"/>
      <c r="K593" s="51"/>
      <c r="L593" s="51"/>
    </row>
    <row r="594" spans="4:12" ht="15.75" customHeight="1">
      <c r="D594" s="43"/>
      <c r="K594" s="51"/>
      <c r="L594" s="51"/>
    </row>
    <row r="595" spans="4:12" ht="15.75" customHeight="1">
      <c r="D595" s="43"/>
      <c r="K595" s="51"/>
      <c r="L595" s="51"/>
    </row>
    <row r="596" spans="4:12" ht="15.75" customHeight="1">
      <c r="D596" s="43"/>
      <c r="K596" s="51"/>
      <c r="L596" s="51"/>
    </row>
    <row r="597" spans="4:12" ht="15.75" customHeight="1">
      <c r="D597" s="43"/>
      <c r="K597" s="51"/>
      <c r="L597" s="51"/>
    </row>
    <row r="598" spans="4:12" ht="15.75" customHeight="1">
      <c r="D598" s="43"/>
      <c r="K598" s="51"/>
      <c r="L598" s="51"/>
    </row>
    <row r="599" spans="4:12" ht="15.75" customHeight="1">
      <c r="D599" s="43"/>
      <c r="K599" s="51"/>
      <c r="L599" s="51"/>
    </row>
    <row r="600" spans="4:12" ht="15.75" customHeight="1">
      <c r="D600" s="43"/>
      <c r="K600" s="51"/>
      <c r="L600" s="51"/>
    </row>
    <row r="601" spans="4:12" ht="15.75" customHeight="1">
      <c r="D601" s="43"/>
      <c r="K601" s="51"/>
      <c r="L601" s="51"/>
    </row>
    <row r="602" spans="4:12" ht="15.75" customHeight="1">
      <c r="D602" s="43"/>
      <c r="K602" s="51"/>
      <c r="L602" s="51"/>
    </row>
    <row r="603" spans="4:12" ht="15.75" customHeight="1">
      <c r="D603" s="43"/>
      <c r="K603" s="51"/>
      <c r="L603" s="51"/>
    </row>
    <row r="604" spans="4:12" ht="15.75" customHeight="1">
      <c r="D604" s="43"/>
      <c r="K604" s="51"/>
      <c r="L604" s="51"/>
    </row>
    <row r="605" spans="4:12" ht="15.75" customHeight="1">
      <c r="D605" s="43"/>
      <c r="K605" s="51"/>
      <c r="L605" s="51"/>
    </row>
    <row r="606" spans="4:12" ht="15.75" customHeight="1">
      <c r="D606" s="43"/>
      <c r="K606" s="51"/>
      <c r="L606" s="51"/>
    </row>
    <row r="607" spans="4:12" ht="15.75" customHeight="1">
      <c r="D607" s="43"/>
      <c r="K607" s="51"/>
      <c r="L607" s="51"/>
    </row>
    <row r="608" spans="4:12" ht="15.75" customHeight="1">
      <c r="D608" s="43"/>
      <c r="K608" s="51"/>
      <c r="L608" s="51"/>
    </row>
    <row r="609" spans="4:12" ht="15.75" customHeight="1">
      <c r="D609" s="43"/>
      <c r="K609" s="51"/>
      <c r="L609" s="51"/>
    </row>
    <row r="610" spans="4:12" ht="15.75" customHeight="1">
      <c r="D610" s="43"/>
      <c r="K610" s="51"/>
      <c r="L610" s="51"/>
    </row>
    <row r="611" spans="4:12" ht="15.75" customHeight="1">
      <c r="D611" s="43"/>
      <c r="K611" s="51"/>
      <c r="L611" s="51"/>
    </row>
    <row r="612" spans="4:12" ht="15.75" customHeight="1">
      <c r="D612" s="43"/>
      <c r="K612" s="51"/>
      <c r="L612" s="51"/>
    </row>
    <row r="613" spans="4:12" ht="15.75" customHeight="1">
      <c r="D613" s="43"/>
      <c r="K613" s="51"/>
      <c r="L613" s="51"/>
    </row>
    <row r="614" spans="4:12" ht="15.75" customHeight="1">
      <c r="D614" s="43"/>
      <c r="K614" s="51"/>
      <c r="L614" s="51"/>
    </row>
    <row r="615" spans="4:12" ht="15.75" customHeight="1">
      <c r="D615" s="43"/>
      <c r="K615" s="51"/>
      <c r="L615" s="51"/>
    </row>
    <row r="616" spans="4:12" ht="15.75" customHeight="1">
      <c r="D616" s="43"/>
      <c r="K616" s="51"/>
      <c r="L616" s="51"/>
    </row>
    <row r="617" spans="4:12" ht="15.75" customHeight="1">
      <c r="D617" s="43"/>
      <c r="K617" s="51"/>
      <c r="L617" s="51"/>
    </row>
    <row r="618" spans="4:12" ht="15.75" customHeight="1">
      <c r="D618" s="43"/>
      <c r="K618" s="51"/>
      <c r="L618" s="51"/>
    </row>
    <row r="619" spans="4:12" ht="15.75" customHeight="1">
      <c r="D619" s="43"/>
      <c r="K619" s="51"/>
      <c r="L619" s="51"/>
    </row>
    <row r="620" spans="4:12" ht="15.75" customHeight="1">
      <c r="D620" s="43"/>
      <c r="K620" s="51"/>
      <c r="L620" s="51"/>
    </row>
    <row r="621" spans="4:12" ht="15.75" customHeight="1">
      <c r="D621" s="43"/>
      <c r="K621" s="51"/>
      <c r="L621" s="51"/>
    </row>
    <row r="622" spans="4:12" ht="15.75" customHeight="1">
      <c r="D622" s="43"/>
      <c r="K622" s="51"/>
      <c r="L622" s="51"/>
    </row>
    <row r="623" spans="4:12" ht="15.75" customHeight="1">
      <c r="D623" s="43"/>
      <c r="K623" s="51"/>
      <c r="L623" s="51"/>
    </row>
    <row r="624" spans="4:12" ht="15.75" customHeight="1">
      <c r="D624" s="43"/>
      <c r="K624" s="51"/>
      <c r="L624" s="51"/>
    </row>
    <row r="625" spans="4:12" ht="15.75" customHeight="1">
      <c r="D625" s="43"/>
      <c r="K625" s="51"/>
      <c r="L625" s="51"/>
    </row>
    <row r="626" spans="4:12" ht="15.75" customHeight="1">
      <c r="D626" s="43"/>
      <c r="K626" s="51"/>
      <c r="L626" s="51"/>
    </row>
    <row r="627" spans="4:12" ht="15.75" customHeight="1">
      <c r="D627" s="43"/>
      <c r="K627" s="51"/>
      <c r="L627" s="51"/>
    </row>
    <row r="628" spans="4:12" ht="15.75" customHeight="1">
      <c r="D628" s="43"/>
      <c r="K628" s="51"/>
      <c r="L628" s="51"/>
    </row>
    <row r="629" spans="4:12" ht="15.75" customHeight="1">
      <c r="D629" s="43"/>
      <c r="K629" s="51"/>
      <c r="L629" s="51"/>
    </row>
    <row r="630" spans="4:12" ht="15.75" customHeight="1">
      <c r="D630" s="43"/>
      <c r="K630" s="51"/>
      <c r="L630" s="51"/>
    </row>
    <row r="631" spans="4:12" ht="15.75" customHeight="1">
      <c r="D631" s="43"/>
      <c r="K631" s="51"/>
      <c r="L631" s="51"/>
    </row>
    <row r="632" spans="4:12" ht="15.75" customHeight="1">
      <c r="D632" s="43"/>
      <c r="K632" s="51"/>
      <c r="L632" s="51"/>
    </row>
    <row r="633" spans="4:12" ht="15.75" customHeight="1">
      <c r="D633" s="43"/>
      <c r="K633" s="51"/>
      <c r="L633" s="51"/>
    </row>
    <row r="634" spans="4:12" ht="15.75" customHeight="1">
      <c r="D634" s="43"/>
      <c r="K634" s="51"/>
      <c r="L634" s="51"/>
    </row>
    <row r="635" spans="4:12" ht="15.75" customHeight="1">
      <c r="D635" s="43"/>
      <c r="K635" s="51"/>
      <c r="L635" s="51"/>
    </row>
    <row r="636" spans="4:12" ht="15.75" customHeight="1">
      <c r="D636" s="43"/>
      <c r="K636" s="51"/>
      <c r="L636" s="51"/>
    </row>
    <row r="637" spans="4:12" ht="15.75" customHeight="1">
      <c r="D637" s="43"/>
      <c r="K637" s="51"/>
      <c r="L637" s="51"/>
    </row>
    <row r="638" spans="4:12" ht="15.75" customHeight="1">
      <c r="D638" s="43"/>
      <c r="K638" s="51"/>
      <c r="L638" s="51"/>
    </row>
    <row r="639" spans="4:12" ht="15.75" customHeight="1">
      <c r="D639" s="43"/>
      <c r="K639" s="51"/>
      <c r="L639" s="51"/>
    </row>
    <row r="640" spans="4:12" ht="15.75" customHeight="1">
      <c r="D640" s="43"/>
      <c r="K640" s="51"/>
      <c r="L640" s="51"/>
    </row>
    <row r="641" spans="4:12" ht="15.75" customHeight="1">
      <c r="D641" s="43"/>
      <c r="K641" s="51"/>
      <c r="L641" s="51"/>
    </row>
    <row r="642" spans="4:12" ht="15.75" customHeight="1">
      <c r="D642" s="43"/>
      <c r="K642" s="51"/>
      <c r="L642" s="51"/>
    </row>
    <row r="643" spans="4:12" ht="15.75" customHeight="1">
      <c r="D643" s="43"/>
      <c r="K643" s="51"/>
      <c r="L643" s="51"/>
    </row>
    <row r="644" spans="4:12" ht="15.75" customHeight="1">
      <c r="D644" s="43"/>
      <c r="K644" s="51"/>
      <c r="L644" s="51"/>
    </row>
    <row r="645" spans="4:12" ht="15.75" customHeight="1">
      <c r="D645" s="43"/>
      <c r="K645" s="51"/>
      <c r="L645" s="51"/>
    </row>
    <row r="646" spans="4:12" ht="15.75" customHeight="1">
      <c r="D646" s="43"/>
      <c r="K646" s="51"/>
      <c r="L646" s="51"/>
    </row>
    <row r="647" spans="4:12" ht="15.75" customHeight="1">
      <c r="D647" s="43"/>
      <c r="K647" s="51"/>
      <c r="L647" s="51"/>
    </row>
    <row r="648" spans="4:12" ht="15.75" customHeight="1">
      <c r="D648" s="43"/>
      <c r="K648" s="51"/>
      <c r="L648" s="51"/>
    </row>
    <row r="649" spans="4:12" ht="15.75" customHeight="1">
      <c r="D649" s="43"/>
      <c r="K649" s="51"/>
      <c r="L649" s="51"/>
    </row>
    <row r="650" spans="4:12" ht="15.75" customHeight="1">
      <c r="D650" s="43"/>
      <c r="K650" s="51"/>
      <c r="L650" s="51"/>
    </row>
    <row r="651" spans="4:12" ht="15.75" customHeight="1">
      <c r="D651" s="43"/>
      <c r="K651" s="51"/>
      <c r="L651" s="51"/>
    </row>
    <row r="652" spans="4:12" ht="15.75" customHeight="1">
      <c r="D652" s="43"/>
      <c r="K652" s="51"/>
      <c r="L652" s="51"/>
    </row>
    <row r="653" spans="4:12" ht="15.75" customHeight="1">
      <c r="D653" s="43"/>
      <c r="K653" s="51"/>
      <c r="L653" s="51"/>
    </row>
    <row r="654" spans="4:12" ht="15.75" customHeight="1">
      <c r="D654" s="43"/>
      <c r="K654" s="51"/>
      <c r="L654" s="51"/>
    </row>
    <row r="655" spans="4:12" ht="15.75" customHeight="1">
      <c r="D655" s="43"/>
      <c r="K655" s="51"/>
      <c r="L655" s="51"/>
    </row>
    <row r="656" spans="4:12" ht="15.75" customHeight="1">
      <c r="D656" s="43"/>
      <c r="K656" s="51"/>
      <c r="L656" s="51"/>
    </row>
    <row r="657" spans="4:12" ht="15.75" customHeight="1">
      <c r="D657" s="43"/>
      <c r="K657" s="51"/>
      <c r="L657" s="51"/>
    </row>
    <row r="658" spans="4:12" ht="15.75" customHeight="1">
      <c r="D658" s="43"/>
      <c r="K658" s="51"/>
      <c r="L658" s="51"/>
    </row>
    <row r="659" spans="4:12" ht="15.75" customHeight="1">
      <c r="D659" s="43"/>
      <c r="K659" s="51"/>
      <c r="L659" s="51"/>
    </row>
    <row r="660" spans="4:12" ht="15.75" customHeight="1">
      <c r="D660" s="43"/>
      <c r="K660" s="51"/>
      <c r="L660" s="51"/>
    </row>
    <row r="661" spans="4:12" ht="15.75" customHeight="1">
      <c r="D661" s="43"/>
      <c r="K661" s="51"/>
      <c r="L661" s="51"/>
    </row>
    <row r="662" spans="4:12" ht="15.75" customHeight="1">
      <c r="D662" s="43"/>
      <c r="K662" s="51"/>
      <c r="L662" s="51"/>
    </row>
    <row r="663" spans="4:12" ht="15.75" customHeight="1">
      <c r="D663" s="43"/>
      <c r="K663" s="51"/>
      <c r="L663" s="51"/>
    </row>
    <row r="664" spans="4:12" ht="15.75" customHeight="1">
      <c r="D664" s="43"/>
      <c r="K664" s="51"/>
      <c r="L664" s="51"/>
    </row>
    <row r="665" spans="4:12" ht="15.75" customHeight="1">
      <c r="D665" s="43"/>
      <c r="K665" s="51"/>
      <c r="L665" s="51"/>
    </row>
    <row r="666" spans="4:12" ht="15.75" customHeight="1">
      <c r="D666" s="43"/>
      <c r="K666" s="51"/>
      <c r="L666" s="51"/>
    </row>
    <row r="667" spans="4:12" ht="15.75" customHeight="1">
      <c r="D667" s="43"/>
      <c r="K667" s="51"/>
      <c r="L667" s="51"/>
    </row>
    <row r="668" spans="4:12" ht="15.75" customHeight="1">
      <c r="D668" s="43"/>
      <c r="K668" s="51"/>
      <c r="L668" s="51"/>
    </row>
    <row r="669" spans="4:12" ht="15.75" customHeight="1">
      <c r="D669" s="43"/>
      <c r="K669" s="51"/>
      <c r="L669" s="51"/>
    </row>
    <row r="670" spans="4:12" ht="15.75" customHeight="1">
      <c r="D670" s="43"/>
      <c r="K670" s="51"/>
      <c r="L670" s="51"/>
    </row>
    <row r="671" spans="4:12" ht="15.75" customHeight="1">
      <c r="D671" s="43"/>
      <c r="K671" s="51"/>
      <c r="L671" s="51"/>
    </row>
    <row r="672" spans="4:12" ht="15.75" customHeight="1">
      <c r="D672" s="43"/>
      <c r="K672" s="51"/>
      <c r="L672" s="51"/>
    </row>
    <row r="673" spans="4:12" ht="15.75" customHeight="1">
      <c r="D673" s="43"/>
      <c r="K673" s="51"/>
      <c r="L673" s="51"/>
    </row>
    <row r="674" spans="4:12" ht="15.75" customHeight="1">
      <c r="D674" s="43"/>
      <c r="K674" s="51"/>
      <c r="L674" s="51"/>
    </row>
    <row r="675" spans="4:12" ht="15.75" customHeight="1">
      <c r="D675" s="43"/>
      <c r="K675" s="51"/>
      <c r="L675" s="51"/>
    </row>
    <row r="676" spans="4:12" ht="15.75" customHeight="1">
      <c r="D676" s="43"/>
      <c r="K676" s="51"/>
      <c r="L676" s="51"/>
    </row>
    <row r="677" spans="4:12" ht="15.75" customHeight="1">
      <c r="D677" s="43"/>
      <c r="K677" s="51"/>
      <c r="L677" s="51"/>
    </row>
    <row r="678" spans="4:12" ht="15.75" customHeight="1">
      <c r="D678" s="43"/>
      <c r="K678" s="51"/>
      <c r="L678" s="51"/>
    </row>
    <row r="679" spans="4:12" ht="15.75" customHeight="1">
      <c r="D679" s="43"/>
      <c r="K679" s="51"/>
      <c r="L679" s="51"/>
    </row>
    <row r="680" spans="4:12" ht="15.75" customHeight="1">
      <c r="D680" s="43"/>
      <c r="K680" s="51"/>
      <c r="L680" s="51"/>
    </row>
    <row r="681" spans="4:12" ht="15.75" customHeight="1">
      <c r="D681" s="43"/>
      <c r="K681" s="51"/>
      <c r="L681" s="51"/>
    </row>
    <row r="682" spans="4:12" ht="15.75" customHeight="1">
      <c r="D682" s="43"/>
      <c r="K682" s="51"/>
      <c r="L682" s="51"/>
    </row>
    <row r="683" spans="4:12" ht="15.75" customHeight="1">
      <c r="D683" s="43"/>
      <c r="K683" s="51"/>
      <c r="L683" s="51"/>
    </row>
    <row r="684" spans="4:12" ht="15.75" customHeight="1">
      <c r="D684" s="43"/>
      <c r="K684" s="51"/>
      <c r="L684" s="51"/>
    </row>
    <row r="685" spans="4:12" ht="15.75" customHeight="1">
      <c r="D685" s="43"/>
      <c r="K685" s="51"/>
      <c r="L685" s="51"/>
    </row>
    <row r="686" spans="4:12" ht="15.75" customHeight="1">
      <c r="D686" s="43"/>
      <c r="K686" s="51"/>
      <c r="L686" s="51"/>
    </row>
    <row r="687" spans="4:12" ht="15.75" customHeight="1">
      <c r="D687" s="43"/>
      <c r="K687" s="51"/>
      <c r="L687" s="51"/>
    </row>
    <row r="688" spans="4:12" ht="15.75" customHeight="1">
      <c r="D688" s="43"/>
      <c r="K688" s="51"/>
      <c r="L688" s="51"/>
    </row>
    <row r="689" spans="4:12" ht="15.75" customHeight="1">
      <c r="D689" s="43"/>
      <c r="K689" s="51"/>
      <c r="L689" s="51"/>
    </row>
    <row r="690" spans="4:12" ht="15.75" customHeight="1">
      <c r="D690" s="43"/>
      <c r="K690" s="51"/>
      <c r="L690" s="51"/>
    </row>
    <row r="691" spans="4:12" ht="15.75" customHeight="1">
      <c r="D691" s="43"/>
      <c r="K691" s="51"/>
      <c r="L691" s="51"/>
    </row>
    <row r="692" spans="4:12" ht="15.75" customHeight="1">
      <c r="D692" s="43"/>
      <c r="K692" s="51"/>
      <c r="L692" s="51"/>
    </row>
    <row r="693" spans="4:12" ht="15.75" customHeight="1">
      <c r="D693" s="43"/>
      <c r="K693" s="51"/>
      <c r="L693" s="51"/>
    </row>
    <row r="694" spans="4:12" ht="15.75" customHeight="1">
      <c r="D694" s="43"/>
      <c r="K694" s="51"/>
      <c r="L694" s="51"/>
    </row>
    <row r="695" spans="4:12" ht="15.75" customHeight="1">
      <c r="D695" s="43"/>
      <c r="K695" s="51"/>
      <c r="L695" s="51"/>
    </row>
    <row r="696" spans="4:12" ht="15.75" customHeight="1">
      <c r="D696" s="43"/>
      <c r="K696" s="51"/>
      <c r="L696" s="51"/>
    </row>
    <row r="697" spans="4:12" ht="15.75" customHeight="1">
      <c r="D697" s="43"/>
      <c r="K697" s="51"/>
      <c r="L697" s="51"/>
    </row>
    <row r="698" spans="4:12" ht="15.75" customHeight="1">
      <c r="D698" s="43"/>
      <c r="K698" s="51"/>
      <c r="L698" s="51"/>
    </row>
    <row r="699" spans="4:12" ht="15.75" customHeight="1">
      <c r="D699" s="43"/>
      <c r="K699" s="51"/>
      <c r="L699" s="51"/>
    </row>
    <row r="700" spans="4:12" ht="15.75" customHeight="1">
      <c r="D700" s="43"/>
      <c r="K700" s="51"/>
      <c r="L700" s="51"/>
    </row>
    <row r="701" spans="4:12" ht="15.75" customHeight="1">
      <c r="D701" s="43"/>
      <c r="K701" s="51"/>
      <c r="L701" s="51"/>
    </row>
    <row r="702" spans="4:12" ht="15.75" customHeight="1">
      <c r="D702" s="43"/>
      <c r="K702" s="51"/>
      <c r="L702" s="51"/>
    </row>
    <row r="703" spans="4:12" ht="15.75" customHeight="1">
      <c r="D703" s="43"/>
      <c r="K703" s="51"/>
      <c r="L703" s="51"/>
    </row>
    <row r="704" spans="4:12" ht="15.75" customHeight="1">
      <c r="D704" s="43"/>
      <c r="K704" s="51"/>
      <c r="L704" s="51"/>
    </row>
    <row r="705" spans="4:12" ht="15.75" customHeight="1">
      <c r="D705" s="43"/>
      <c r="K705" s="51"/>
      <c r="L705" s="51"/>
    </row>
    <row r="706" spans="4:12" ht="15.75" customHeight="1">
      <c r="D706" s="43"/>
      <c r="K706" s="51"/>
      <c r="L706" s="51"/>
    </row>
    <row r="707" spans="4:12" ht="15.75" customHeight="1">
      <c r="D707" s="43"/>
      <c r="K707" s="51"/>
      <c r="L707" s="51"/>
    </row>
    <row r="708" spans="4:12" ht="15.75" customHeight="1">
      <c r="D708" s="43"/>
      <c r="K708" s="51"/>
      <c r="L708" s="51"/>
    </row>
    <row r="709" spans="4:12" ht="15.75" customHeight="1">
      <c r="D709" s="43"/>
      <c r="K709" s="51"/>
      <c r="L709" s="51"/>
    </row>
    <row r="710" spans="4:12" ht="15.75" customHeight="1">
      <c r="D710" s="43"/>
      <c r="K710" s="51"/>
      <c r="L710" s="51"/>
    </row>
    <row r="711" spans="4:12" ht="15.75" customHeight="1">
      <c r="D711" s="43"/>
      <c r="K711" s="51"/>
      <c r="L711" s="51"/>
    </row>
    <row r="712" spans="4:12" ht="15.75" customHeight="1">
      <c r="D712" s="43"/>
      <c r="K712" s="51"/>
      <c r="L712" s="51"/>
    </row>
    <row r="713" spans="4:12" ht="15.75" customHeight="1">
      <c r="D713" s="43"/>
      <c r="K713" s="51"/>
      <c r="L713" s="51"/>
    </row>
    <row r="714" spans="4:12" ht="15.75" customHeight="1">
      <c r="D714" s="43"/>
      <c r="K714" s="51"/>
      <c r="L714" s="51"/>
    </row>
    <row r="715" spans="4:12" ht="15.75" customHeight="1">
      <c r="D715" s="43"/>
      <c r="K715" s="51"/>
      <c r="L715" s="51"/>
    </row>
    <row r="716" spans="4:12" ht="15.75" customHeight="1">
      <c r="D716" s="43"/>
      <c r="K716" s="51"/>
      <c r="L716" s="51"/>
    </row>
    <row r="717" spans="4:12" ht="15.75" customHeight="1">
      <c r="D717" s="43"/>
      <c r="K717" s="51"/>
      <c r="L717" s="51"/>
    </row>
    <row r="718" spans="4:12" ht="15.75" customHeight="1">
      <c r="D718" s="43"/>
      <c r="K718" s="51"/>
      <c r="L718" s="51"/>
    </row>
    <row r="719" spans="4:12" ht="15.75" customHeight="1">
      <c r="D719" s="43"/>
      <c r="K719" s="51"/>
      <c r="L719" s="51"/>
    </row>
    <row r="720" spans="4:12" ht="15.75" customHeight="1">
      <c r="D720" s="43"/>
      <c r="K720" s="51"/>
      <c r="L720" s="51"/>
    </row>
    <row r="721" spans="4:12" ht="15.75" customHeight="1">
      <c r="D721" s="43"/>
      <c r="K721" s="51"/>
      <c r="L721" s="51"/>
    </row>
    <row r="722" spans="4:12" ht="15.75" customHeight="1">
      <c r="D722" s="43"/>
      <c r="K722" s="51"/>
      <c r="L722" s="51"/>
    </row>
    <row r="723" spans="4:12" ht="15.75" customHeight="1">
      <c r="D723" s="43"/>
      <c r="K723" s="51"/>
      <c r="L723" s="51"/>
    </row>
    <row r="724" spans="4:12" ht="15.75" customHeight="1">
      <c r="D724" s="43"/>
      <c r="K724" s="51"/>
      <c r="L724" s="51"/>
    </row>
    <row r="725" spans="4:12" ht="15.75" customHeight="1">
      <c r="D725" s="43"/>
      <c r="K725" s="51"/>
      <c r="L725" s="51"/>
    </row>
    <row r="726" spans="4:12" ht="15.75" customHeight="1">
      <c r="D726" s="43"/>
      <c r="K726" s="51"/>
      <c r="L726" s="51"/>
    </row>
    <row r="727" spans="4:12" ht="15.75" customHeight="1">
      <c r="D727" s="43"/>
      <c r="K727" s="51"/>
      <c r="L727" s="51"/>
    </row>
    <row r="728" spans="4:12" ht="15.75" customHeight="1">
      <c r="D728" s="43"/>
      <c r="K728" s="51"/>
      <c r="L728" s="51"/>
    </row>
    <row r="729" spans="4:12" ht="15.75" customHeight="1">
      <c r="D729" s="43"/>
      <c r="K729" s="51"/>
      <c r="L729" s="51"/>
    </row>
    <row r="730" spans="4:12" ht="15.75" customHeight="1">
      <c r="D730" s="43"/>
      <c r="K730" s="51"/>
      <c r="L730" s="51"/>
    </row>
    <row r="731" spans="4:12" ht="15.75" customHeight="1">
      <c r="D731" s="43"/>
      <c r="K731" s="51"/>
      <c r="L731" s="51"/>
    </row>
    <row r="732" spans="4:12" ht="15.75" customHeight="1">
      <c r="D732" s="43"/>
      <c r="K732" s="51"/>
      <c r="L732" s="51"/>
    </row>
    <row r="733" spans="4:12" ht="15.75" customHeight="1">
      <c r="D733" s="43"/>
      <c r="K733" s="51"/>
      <c r="L733" s="51"/>
    </row>
    <row r="734" spans="4:12" ht="15.75" customHeight="1">
      <c r="D734" s="43"/>
      <c r="K734" s="51"/>
      <c r="L734" s="51"/>
    </row>
    <row r="735" spans="4:12" ht="15.75" customHeight="1">
      <c r="D735" s="43"/>
      <c r="K735" s="51"/>
      <c r="L735" s="51"/>
    </row>
    <row r="736" spans="4:12" ht="15.75" customHeight="1">
      <c r="D736" s="43"/>
      <c r="K736" s="51"/>
      <c r="L736" s="51"/>
    </row>
    <row r="737" spans="4:12" ht="15.75" customHeight="1">
      <c r="D737" s="43"/>
      <c r="K737" s="51"/>
      <c r="L737" s="51"/>
    </row>
    <row r="738" spans="4:12" ht="15.75" customHeight="1">
      <c r="D738" s="43"/>
      <c r="K738" s="51"/>
      <c r="L738" s="51"/>
    </row>
    <row r="739" spans="4:12" ht="15.75" customHeight="1">
      <c r="D739" s="43"/>
      <c r="K739" s="51"/>
      <c r="L739" s="51"/>
    </row>
    <row r="740" spans="4:12" ht="15.75" customHeight="1">
      <c r="D740" s="43"/>
      <c r="K740" s="51"/>
      <c r="L740" s="51"/>
    </row>
    <row r="741" spans="4:12" ht="15.75" customHeight="1">
      <c r="D741" s="43"/>
      <c r="K741" s="51"/>
      <c r="L741" s="51"/>
    </row>
    <row r="742" spans="4:12" ht="15.75" customHeight="1">
      <c r="D742" s="43"/>
      <c r="K742" s="51"/>
      <c r="L742" s="51"/>
    </row>
    <row r="743" spans="4:12" ht="15.75" customHeight="1">
      <c r="D743" s="43"/>
      <c r="K743" s="51"/>
      <c r="L743" s="51"/>
    </row>
    <row r="744" spans="4:12" ht="15.75" customHeight="1">
      <c r="D744" s="43"/>
      <c r="K744" s="51"/>
      <c r="L744" s="51"/>
    </row>
    <row r="745" spans="4:12" ht="15.75" customHeight="1">
      <c r="D745" s="43"/>
      <c r="K745" s="51"/>
      <c r="L745" s="51"/>
    </row>
    <row r="746" spans="4:12" ht="15.75" customHeight="1">
      <c r="D746" s="43"/>
      <c r="K746" s="51"/>
      <c r="L746" s="51"/>
    </row>
    <row r="747" spans="4:12" ht="15.75" customHeight="1">
      <c r="D747" s="43"/>
      <c r="K747" s="51"/>
      <c r="L747" s="51"/>
    </row>
    <row r="748" spans="4:12" ht="15.75" customHeight="1">
      <c r="D748" s="43"/>
      <c r="K748" s="51"/>
      <c r="L748" s="51"/>
    </row>
    <row r="749" spans="4:12" ht="15.75" customHeight="1">
      <c r="D749" s="43"/>
      <c r="K749" s="51"/>
      <c r="L749" s="51"/>
    </row>
    <row r="750" spans="4:12" ht="15.75" customHeight="1">
      <c r="D750" s="43"/>
      <c r="K750" s="51"/>
      <c r="L750" s="51"/>
    </row>
    <row r="751" spans="4:12" ht="15.75" customHeight="1">
      <c r="D751" s="43"/>
      <c r="K751" s="51"/>
      <c r="L751" s="51"/>
    </row>
    <row r="752" spans="4:12" ht="15.75" customHeight="1">
      <c r="D752" s="43"/>
      <c r="K752" s="51"/>
      <c r="L752" s="51"/>
    </row>
    <row r="753" spans="4:12" ht="15.75" customHeight="1">
      <c r="D753" s="43"/>
      <c r="K753" s="51"/>
      <c r="L753" s="51"/>
    </row>
    <row r="754" spans="4:12" ht="15.75" customHeight="1">
      <c r="D754" s="43"/>
      <c r="K754" s="51"/>
      <c r="L754" s="51"/>
    </row>
    <row r="755" spans="4:12" ht="15.75" customHeight="1">
      <c r="D755" s="43"/>
      <c r="K755" s="51"/>
      <c r="L755" s="51"/>
    </row>
    <row r="756" spans="4:12" ht="15.75" customHeight="1">
      <c r="D756" s="43"/>
      <c r="K756" s="51"/>
      <c r="L756" s="51"/>
    </row>
    <row r="757" spans="4:12" ht="15.75" customHeight="1">
      <c r="D757" s="43"/>
      <c r="K757" s="51"/>
      <c r="L757" s="51"/>
    </row>
    <row r="758" spans="4:12" ht="15.75" customHeight="1">
      <c r="D758" s="43"/>
      <c r="K758" s="51"/>
      <c r="L758" s="51"/>
    </row>
    <row r="759" spans="4:12" ht="15.75" customHeight="1">
      <c r="D759" s="43"/>
      <c r="K759" s="51"/>
      <c r="L759" s="51"/>
    </row>
    <row r="760" spans="4:12" ht="15.75" customHeight="1">
      <c r="D760" s="43"/>
      <c r="K760" s="51"/>
      <c r="L760" s="51"/>
    </row>
    <row r="761" spans="4:12" ht="15.75" customHeight="1">
      <c r="D761" s="43"/>
      <c r="K761" s="51"/>
      <c r="L761" s="51"/>
    </row>
    <row r="762" spans="4:12" ht="15.75" customHeight="1">
      <c r="D762" s="43"/>
      <c r="K762" s="51"/>
      <c r="L762" s="51"/>
    </row>
    <row r="763" spans="4:12" ht="15.75" customHeight="1">
      <c r="D763" s="43"/>
      <c r="K763" s="51"/>
      <c r="L763" s="51"/>
    </row>
    <row r="764" spans="4:12" ht="15.75" customHeight="1">
      <c r="D764" s="43"/>
      <c r="K764" s="51"/>
      <c r="L764" s="51"/>
    </row>
    <row r="765" spans="4:12" ht="15.75" customHeight="1">
      <c r="D765" s="43"/>
      <c r="K765" s="51"/>
      <c r="L765" s="51"/>
    </row>
    <row r="766" spans="4:12" ht="15.75" customHeight="1">
      <c r="D766" s="43"/>
      <c r="K766" s="51"/>
      <c r="L766" s="51"/>
    </row>
    <row r="767" spans="4:12" ht="15.75" customHeight="1">
      <c r="D767" s="43"/>
      <c r="K767" s="51"/>
      <c r="L767" s="51"/>
    </row>
    <row r="768" spans="4:12" ht="15.75" customHeight="1">
      <c r="D768" s="43"/>
      <c r="K768" s="51"/>
      <c r="L768" s="51"/>
    </row>
    <row r="769" spans="4:12" ht="15.75" customHeight="1">
      <c r="D769" s="43"/>
      <c r="K769" s="51"/>
      <c r="L769" s="51"/>
    </row>
    <row r="770" spans="4:12" ht="15.75" customHeight="1">
      <c r="D770" s="43"/>
      <c r="K770" s="51"/>
      <c r="L770" s="51"/>
    </row>
    <row r="771" spans="4:12" ht="15.75" customHeight="1">
      <c r="D771" s="43"/>
      <c r="K771" s="51"/>
      <c r="L771" s="51"/>
    </row>
    <row r="772" spans="4:12" ht="15.75" customHeight="1">
      <c r="D772" s="43"/>
      <c r="K772" s="51"/>
      <c r="L772" s="51"/>
    </row>
    <row r="773" spans="4:12" ht="15.75" customHeight="1">
      <c r="D773" s="43"/>
      <c r="K773" s="51"/>
      <c r="L773" s="51"/>
    </row>
    <row r="774" spans="4:12" ht="15.75" customHeight="1">
      <c r="D774" s="43"/>
      <c r="K774" s="51"/>
      <c r="L774" s="51"/>
    </row>
    <row r="775" spans="4:12" ht="15.75" customHeight="1">
      <c r="D775" s="43"/>
      <c r="K775" s="51"/>
      <c r="L775" s="51"/>
    </row>
    <row r="776" spans="4:12" ht="15.75" customHeight="1">
      <c r="D776" s="43"/>
      <c r="K776" s="51"/>
      <c r="L776" s="51"/>
    </row>
    <row r="777" spans="4:12" ht="15.75" customHeight="1">
      <c r="D777" s="43"/>
      <c r="K777" s="51"/>
      <c r="L777" s="51"/>
    </row>
    <row r="778" spans="4:12" ht="15.75" customHeight="1">
      <c r="D778" s="43"/>
      <c r="K778" s="51"/>
      <c r="L778" s="51"/>
    </row>
    <row r="779" spans="4:12" ht="15.75" customHeight="1">
      <c r="D779" s="43"/>
      <c r="K779" s="51"/>
      <c r="L779" s="51"/>
    </row>
    <row r="780" spans="4:12" ht="15.75" customHeight="1">
      <c r="D780" s="43"/>
      <c r="K780" s="51"/>
      <c r="L780" s="51"/>
    </row>
    <row r="781" spans="4:12" ht="15.75" customHeight="1">
      <c r="D781" s="43"/>
      <c r="K781" s="51"/>
      <c r="L781" s="51"/>
    </row>
    <row r="782" spans="4:12" ht="15.75" customHeight="1">
      <c r="D782" s="43"/>
      <c r="K782" s="51"/>
      <c r="L782" s="51"/>
    </row>
    <row r="783" spans="4:12" ht="15.75" customHeight="1">
      <c r="D783" s="43"/>
      <c r="K783" s="51"/>
      <c r="L783" s="51"/>
    </row>
    <row r="784" spans="4:12" ht="15.75" customHeight="1">
      <c r="D784" s="43"/>
      <c r="K784" s="51"/>
      <c r="L784" s="51"/>
    </row>
    <row r="785" spans="4:12" ht="15.75" customHeight="1">
      <c r="D785" s="43"/>
      <c r="K785" s="51"/>
      <c r="L785" s="51"/>
    </row>
    <row r="786" spans="4:12" ht="15.75" customHeight="1">
      <c r="D786" s="43"/>
      <c r="K786" s="51"/>
      <c r="L786" s="51"/>
    </row>
    <row r="787" spans="4:12" ht="15.75" customHeight="1">
      <c r="D787" s="43"/>
      <c r="K787" s="51"/>
      <c r="L787" s="51"/>
    </row>
    <row r="788" spans="4:12" ht="15.75" customHeight="1">
      <c r="D788" s="43"/>
      <c r="K788" s="51"/>
      <c r="L788" s="51"/>
    </row>
    <row r="789" spans="4:12" ht="15.75" customHeight="1">
      <c r="D789" s="43"/>
      <c r="K789" s="51"/>
      <c r="L789" s="51"/>
    </row>
    <row r="790" spans="4:12" ht="15.75" customHeight="1">
      <c r="D790" s="43"/>
      <c r="K790" s="51"/>
      <c r="L790" s="51"/>
    </row>
    <row r="791" spans="4:12" ht="15.75" customHeight="1">
      <c r="D791" s="43"/>
      <c r="K791" s="51"/>
      <c r="L791" s="51"/>
    </row>
    <row r="792" spans="4:12" ht="15.75" customHeight="1">
      <c r="D792" s="43"/>
      <c r="K792" s="51"/>
      <c r="L792" s="51"/>
    </row>
    <row r="793" spans="4:12" ht="15.75" customHeight="1">
      <c r="D793" s="43"/>
      <c r="K793" s="51"/>
      <c r="L793" s="51"/>
    </row>
    <row r="794" spans="4:12" ht="15.75" customHeight="1">
      <c r="D794" s="43"/>
      <c r="K794" s="51"/>
      <c r="L794" s="51"/>
    </row>
    <row r="795" spans="4:12" ht="15.75" customHeight="1">
      <c r="D795" s="43"/>
      <c r="K795" s="51"/>
      <c r="L795" s="51"/>
    </row>
    <row r="796" spans="4:12" ht="15.75" customHeight="1">
      <c r="D796" s="43"/>
      <c r="K796" s="51"/>
      <c r="L796" s="51"/>
    </row>
    <row r="797" spans="4:12" ht="15.75" customHeight="1">
      <c r="D797" s="43"/>
      <c r="K797" s="51"/>
      <c r="L797" s="51"/>
    </row>
    <row r="798" spans="4:12" ht="15.75" customHeight="1">
      <c r="D798" s="43"/>
      <c r="K798" s="51"/>
      <c r="L798" s="51"/>
    </row>
    <row r="799" spans="4:12" ht="15.75" customHeight="1">
      <c r="D799" s="43"/>
      <c r="K799" s="51"/>
      <c r="L799" s="51"/>
    </row>
    <row r="800" spans="4:12" ht="15.75" customHeight="1">
      <c r="D800" s="43"/>
      <c r="K800" s="51"/>
      <c r="L800" s="51"/>
    </row>
    <row r="801" spans="4:12" ht="15.75" customHeight="1">
      <c r="D801" s="43"/>
      <c r="K801" s="51"/>
      <c r="L801" s="51"/>
    </row>
    <row r="802" spans="4:12" ht="15.75" customHeight="1">
      <c r="D802" s="43"/>
      <c r="K802" s="51"/>
      <c r="L802" s="51"/>
    </row>
    <row r="803" spans="4:12" ht="15.75" customHeight="1">
      <c r="D803" s="43"/>
      <c r="K803" s="51"/>
      <c r="L803" s="51"/>
    </row>
    <row r="804" spans="4:12" ht="15.75" customHeight="1">
      <c r="D804" s="43"/>
      <c r="K804" s="51"/>
      <c r="L804" s="51"/>
    </row>
    <row r="805" spans="4:12" ht="15.75" customHeight="1">
      <c r="D805" s="43"/>
      <c r="K805" s="51"/>
      <c r="L805" s="51"/>
    </row>
    <row r="806" spans="4:12" ht="15.75" customHeight="1">
      <c r="D806" s="43"/>
      <c r="K806" s="51"/>
      <c r="L806" s="51"/>
    </row>
    <row r="807" spans="4:12" ht="15.75" customHeight="1">
      <c r="D807" s="43"/>
      <c r="K807" s="51"/>
      <c r="L807" s="51"/>
    </row>
    <row r="808" spans="4:12" ht="15.75" customHeight="1">
      <c r="D808" s="43"/>
      <c r="K808" s="51"/>
      <c r="L808" s="51"/>
    </row>
    <row r="809" spans="4:12" ht="15.75" customHeight="1">
      <c r="D809" s="43"/>
      <c r="K809" s="51"/>
      <c r="L809" s="51"/>
    </row>
    <row r="810" spans="4:12" ht="15.75" customHeight="1">
      <c r="D810" s="43"/>
      <c r="K810" s="51"/>
      <c r="L810" s="51"/>
    </row>
    <row r="811" spans="4:12" ht="15.75" customHeight="1">
      <c r="D811" s="43"/>
      <c r="K811" s="51"/>
      <c r="L811" s="51"/>
    </row>
    <row r="812" spans="4:12" ht="15.75" customHeight="1">
      <c r="D812" s="43"/>
      <c r="K812" s="51"/>
      <c r="L812" s="51"/>
    </row>
    <row r="813" spans="4:12" ht="15.75" customHeight="1">
      <c r="D813" s="43"/>
      <c r="K813" s="51"/>
      <c r="L813" s="51"/>
    </row>
    <row r="814" spans="4:12" ht="15.75" customHeight="1">
      <c r="D814" s="43"/>
      <c r="K814" s="51"/>
      <c r="L814" s="51"/>
    </row>
    <row r="815" spans="4:12" ht="15.75" customHeight="1">
      <c r="D815" s="43"/>
      <c r="K815" s="51"/>
      <c r="L815" s="51"/>
    </row>
    <row r="816" spans="4:12" ht="15.75" customHeight="1">
      <c r="D816" s="43"/>
      <c r="K816" s="51"/>
      <c r="L816" s="51"/>
    </row>
    <row r="817" spans="4:12" ht="15.75" customHeight="1">
      <c r="D817" s="43"/>
      <c r="K817" s="51"/>
      <c r="L817" s="51"/>
    </row>
    <row r="818" spans="4:12" ht="15.75" customHeight="1">
      <c r="D818" s="43"/>
      <c r="K818" s="51"/>
      <c r="L818" s="51"/>
    </row>
    <row r="819" spans="4:12" ht="15.75" customHeight="1">
      <c r="D819" s="43"/>
      <c r="K819" s="51"/>
      <c r="L819" s="51"/>
    </row>
    <row r="820" spans="4:12" ht="15.75" customHeight="1">
      <c r="D820" s="43"/>
      <c r="K820" s="51"/>
      <c r="L820" s="51"/>
    </row>
    <row r="821" spans="4:12" ht="15.75" customHeight="1">
      <c r="D821" s="43"/>
      <c r="K821" s="51"/>
      <c r="L821" s="51"/>
    </row>
    <row r="822" spans="4:12" ht="15.75" customHeight="1">
      <c r="D822" s="43"/>
      <c r="K822" s="51"/>
      <c r="L822" s="51"/>
    </row>
    <row r="823" spans="4:12" ht="15.75" customHeight="1">
      <c r="D823" s="43"/>
      <c r="K823" s="51"/>
      <c r="L823" s="51"/>
    </row>
    <row r="824" spans="4:12" ht="15.75" customHeight="1">
      <c r="D824" s="43"/>
      <c r="K824" s="51"/>
      <c r="L824" s="51"/>
    </row>
    <row r="825" spans="4:12" ht="15.75" customHeight="1">
      <c r="D825" s="43"/>
      <c r="K825" s="51"/>
      <c r="L825" s="51"/>
    </row>
    <row r="826" spans="4:12" ht="15.75" customHeight="1">
      <c r="D826" s="43"/>
      <c r="K826" s="51"/>
      <c r="L826" s="51"/>
    </row>
    <row r="827" spans="4:12" ht="15.75" customHeight="1">
      <c r="D827" s="43"/>
      <c r="K827" s="51"/>
      <c r="L827" s="51"/>
    </row>
    <row r="828" spans="4:12" ht="15.75" customHeight="1">
      <c r="D828" s="43"/>
      <c r="K828" s="51"/>
      <c r="L828" s="51"/>
    </row>
    <row r="829" spans="4:12" ht="15.75" customHeight="1">
      <c r="D829" s="43"/>
      <c r="K829" s="51"/>
      <c r="L829" s="51"/>
    </row>
    <row r="830" spans="4:12" ht="15.75" customHeight="1">
      <c r="D830" s="43"/>
      <c r="K830" s="51"/>
      <c r="L830" s="51"/>
    </row>
    <row r="831" spans="4:12" ht="15.75" customHeight="1">
      <c r="D831" s="43"/>
      <c r="K831" s="51"/>
      <c r="L831" s="51"/>
    </row>
    <row r="832" spans="4:12" ht="15.75" customHeight="1">
      <c r="D832" s="43"/>
      <c r="K832" s="51"/>
      <c r="L832" s="51"/>
    </row>
    <row r="833" spans="4:12" ht="15.75" customHeight="1">
      <c r="D833" s="43"/>
      <c r="K833" s="51"/>
      <c r="L833" s="51"/>
    </row>
    <row r="834" spans="4:12" ht="15.75" customHeight="1">
      <c r="D834" s="43"/>
      <c r="K834" s="51"/>
      <c r="L834" s="51"/>
    </row>
    <row r="835" spans="4:12" ht="15.75" customHeight="1">
      <c r="D835" s="43"/>
      <c r="K835" s="51"/>
      <c r="L835" s="51"/>
    </row>
    <row r="836" spans="4:12" ht="15.75" customHeight="1">
      <c r="D836" s="43"/>
      <c r="K836" s="51"/>
      <c r="L836" s="51"/>
    </row>
    <row r="837" spans="4:12" ht="15.75" customHeight="1">
      <c r="D837" s="43"/>
      <c r="K837" s="51"/>
      <c r="L837" s="51"/>
    </row>
    <row r="838" spans="4:12" ht="15.75" customHeight="1">
      <c r="D838" s="43"/>
      <c r="K838" s="51"/>
      <c r="L838" s="51"/>
    </row>
    <row r="839" spans="4:12" ht="15.75" customHeight="1">
      <c r="D839" s="43"/>
      <c r="K839" s="51"/>
      <c r="L839" s="51"/>
    </row>
    <row r="840" spans="4:12" ht="15.75" customHeight="1">
      <c r="D840" s="43"/>
      <c r="K840" s="51"/>
      <c r="L840" s="51"/>
    </row>
    <row r="841" spans="4:12" ht="15.75" customHeight="1">
      <c r="D841" s="43"/>
      <c r="K841" s="51"/>
      <c r="L841" s="51"/>
    </row>
    <row r="842" spans="4:12" ht="15.75" customHeight="1">
      <c r="D842" s="43"/>
      <c r="K842" s="51"/>
      <c r="L842" s="51"/>
    </row>
    <row r="843" spans="4:12" ht="15.75" customHeight="1">
      <c r="D843" s="43"/>
      <c r="K843" s="51"/>
      <c r="L843" s="51"/>
    </row>
    <row r="844" spans="4:12" ht="15.75" customHeight="1">
      <c r="D844" s="43"/>
      <c r="K844" s="51"/>
      <c r="L844" s="51"/>
    </row>
    <row r="845" spans="4:12" ht="15.75" customHeight="1">
      <c r="D845" s="43"/>
      <c r="K845" s="51"/>
      <c r="L845" s="51"/>
    </row>
    <row r="846" spans="4:12" ht="15.75" customHeight="1">
      <c r="D846" s="43"/>
      <c r="K846" s="51"/>
      <c r="L846" s="51"/>
    </row>
    <row r="847" spans="4:12" ht="15.75" customHeight="1">
      <c r="D847" s="43"/>
      <c r="K847" s="51"/>
      <c r="L847" s="51"/>
    </row>
    <row r="848" spans="4:12" ht="15.75" customHeight="1">
      <c r="D848" s="43"/>
      <c r="K848" s="51"/>
      <c r="L848" s="51"/>
    </row>
    <row r="849" spans="4:12" ht="15.75" customHeight="1">
      <c r="D849" s="43"/>
      <c r="K849" s="51"/>
      <c r="L849" s="51"/>
    </row>
    <row r="850" spans="4:12" ht="15.75" customHeight="1">
      <c r="D850" s="43"/>
      <c r="K850" s="51"/>
      <c r="L850" s="51"/>
    </row>
    <row r="851" spans="4:12" ht="15.75" customHeight="1">
      <c r="D851" s="43"/>
      <c r="K851" s="51"/>
      <c r="L851" s="51"/>
    </row>
    <row r="852" spans="4:12" ht="15.75" customHeight="1">
      <c r="D852" s="43"/>
      <c r="K852" s="51"/>
      <c r="L852" s="51"/>
    </row>
    <row r="853" spans="4:12" ht="15.75" customHeight="1">
      <c r="D853" s="43"/>
      <c r="K853" s="51"/>
      <c r="L853" s="51"/>
    </row>
    <row r="854" spans="4:12" ht="15.75" customHeight="1">
      <c r="D854" s="43"/>
      <c r="K854" s="51"/>
      <c r="L854" s="51"/>
    </row>
    <row r="855" spans="4:12" ht="15.75" customHeight="1">
      <c r="D855" s="43"/>
      <c r="K855" s="51"/>
      <c r="L855" s="51"/>
    </row>
    <row r="856" spans="4:12" ht="15.75" customHeight="1">
      <c r="D856" s="43"/>
      <c r="K856" s="51"/>
      <c r="L856" s="51"/>
    </row>
    <row r="857" spans="4:12" ht="15.75" customHeight="1">
      <c r="D857" s="43"/>
      <c r="K857" s="51"/>
      <c r="L857" s="51"/>
    </row>
    <row r="858" spans="4:12" ht="15.75" customHeight="1">
      <c r="D858" s="43"/>
      <c r="K858" s="51"/>
      <c r="L858" s="51"/>
    </row>
    <row r="859" spans="4:12" ht="15.75" customHeight="1">
      <c r="D859" s="43"/>
      <c r="K859" s="51"/>
      <c r="L859" s="51"/>
    </row>
    <row r="860" spans="4:12" ht="15.75" customHeight="1">
      <c r="D860" s="43"/>
      <c r="K860" s="51"/>
      <c r="L860" s="51"/>
    </row>
    <row r="861" spans="4:12" ht="15.75" customHeight="1">
      <c r="D861" s="43"/>
      <c r="K861" s="51"/>
      <c r="L861" s="51"/>
    </row>
    <row r="862" spans="4:12" ht="15.75" customHeight="1">
      <c r="D862" s="43"/>
      <c r="K862" s="51"/>
      <c r="L862" s="51"/>
    </row>
    <row r="863" spans="4:12" ht="15.75" customHeight="1">
      <c r="D863" s="43"/>
      <c r="K863" s="51"/>
      <c r="L863" s="51"/>
    </row>
    <row r="864" spans="4:12" ht="15.75" customHeight="1">
      <c r="D864" s="43"/>
      <c r="K864" s="51"/>
      <c r="L864" s="51"/>
    </row>
    <row r="865" spans="4:12" ht="15.75" customHeight="1">
      <c r="D865" s="43"/>
      <c r="K865" s="51"/>
      <c r="L865" s="51"/>
    </row>
    <row r="866" spans="4:12" ht="15.75" customHeight="1">
      <c r="D866" s="43"/>
      <c r="K866" s="51"/>
      <c r="L866" s="51"/>
    </row>
    <row r="867" spans="4:12" ht="15.75" customHeight="1">
      <c r="D867" s="43"/>
      <c r="K867" s="51"/>
      <c r="L867" s="51"/>
    </row>
    <row r="868" spans="4:12" ht="15.75" customHeight="1">
      <c r="D868" s="43"/>
      <c r="K868" s="51"/>
      <c r="L868" s="51"/>
    </row>
    <row r="869" spans="4:12" ht="15.75" customHeight="1">
      <c r="D869" s="43"/>
      <c r="K869" s="51"/>
      <c r="L869" s="51"/>
    </row>
    <row r="870" spans="4:12" ht="15.75" customHeight="1">
      <c r="D870" s="43"/>
      <c r="K870" s="51"/>
      <c r="L870" s="51"/>
    </row>
    <row r="871" spans="4:12" ht="15.75" customHeight="1">
      <c r="D871" s="43"/>
      <c r="K871" s="51"/>
      <c r="L871" s="51"/>
    </row>
    <row r="872" spans="4:12" ht="15.75" customHeight="1">
      <c r="D872" s="43"/>
      <c r="K872" s="51"/>
      <c r="L872" s="51"/>
    </row>
    <row r="873" spans="4:12" ht="15.75" customHeight="1">
      <c r="D873" s="43"/>
      <c r="K873" s="51"/>
      <c r="L873" s="51"/>
    </row>
    <row r="874" spans="4:12" ht="15.75" customHeight="1">
      <c r="D874" s="43"/>
      <c r="K874" s="51"/>
      <c r="L874" s="51"/>
    </row>
    <row r="875" spans="4:12" ht="15.75" customHeight="1">
      <c r="D875" s="43"/>
      <c r="K875" s="51"/>
      <c r="L875" s="51"/>
    </row>
    <row r="876" spans="4:12" ht="15.75" customHeight="1">
      <c r="D876" s="43"/>
      <c r="K876" s="51"/>
      <c r="L876" s="51"/>
    </row>
    <row r="877" spans="4:12" ht="15.75" customHeight="1">
      <c r="D877" s="43"/>
      <c r="K877" s="51"/>
      <c r="L877" s="51"/>
    </row>
    <row r="878" spans="4:12" ht="15.75" customHeight="1">
      <c r="D878" s="43"/>
      <c r="K878" s="51"/>
      <c r="L878" s="51"/>
    </row>
    <row r="879" spans="4:12" ht="15.75" customHeight="1">
      <c r="D879" s="43"/>
      <c r="K879" s="51"/>
      <c r="L879" s="51"/>
    </row>
    <row r="880" spans="4:12" ht="15.75" customHeight="1">
      <c r="D880" s="43"/>
      <c r="K880" s="51"/>
      <c r="L880" s="51"/>
    </row>
    <row r="881" spans="4:12" ht="15.75" customHeight="1">
      <c r="D881" s="43"/>
      <c r="K881" s="51"/>
      <c r="L881" s="51"/>
    </row>
    <row r="882" spans="4:12" ht="15.75" customHeight="1">
      <c r="D882" s="43"/>
      <c r="K882" s="51"/>
      <c r="L882" s="51"/>
    </row>
    <row r="883" spans="4:12" ht="15.75" customHeight="1">
      <c r="D883" s="43"/>
      <c r="K883" s="51"/>
      <c r="L883" s="51"/>
    </row>
    <row r="884" spans="4:12" ht="15.75" customHeight="1">
      <c r="D884" s="43"/>
      <c r="K884" s="51"/>
      <c r="L884" s="51"/>
    </row>
    <row r="885" spans="4:12" ht="15.75" customHeight="1">
      <c r="D885" s="43"/>
      <c r="K885" s="51"/>
      <c r="L885" s="51"/>
    </row>
    <row r="886" spans="4:12" ht="15.75" customHeight="1">
      <c r="D886" s="43"/>
      <c r="K886" s="51"/>
      <c r="L886" s="51"/>
    </row>
    <row r="887" spans="4:12" ht="15.75" customHeight="1">
      <c r="D887" s="43"/>
      <c r="K887" s="51"/>
      <c r="L887" s="51"/>
    </row>
    <row r="888" spans="4:12" ht="15.75" customHeight="1">
      <c r="D888" s="43"/>
      <c r="K888" s="51"/>
      <c r="L888" s="51"/>
    </row>
    <row r="889" spans="4:12" ht="15.75" customHeight="1">
      <c r="D889" s="43"/>
      <c r="K889" s="51"/>
      <c r="L889" s="51"/>
    </row>
    <row r="890" spans="4:12" ht="15.75" customHeight="1">
      <c r="D890" s="43"/>
      <c r="K890" s="51"/>
      <c r="L890" s="51"/>
    </row>
    <row r="891" spans="4:12" ht="15.75" customHeight="1">
      <c r="D891" s="43"/>
      <c r="K891" s="51"/>
      <c r="L891" s="51"/>
    </row>
    <row r="892" spans="4:12" ht="15.75" customHeight="1">
      <c r="D892" s="43"/>
      <c r="K892" s="51"/>
      <c r="L892" s="51"/>
    </row>
    <row r="893" spans="4:12" ht="15.75" customHeight="1">
      <c r="D893" s="43"/>
      <c r="K893" s="51"/>
      <c r="L893" s="51"/>
    </row>
    <row r="894" spans="4:12" ht="15.75" customHeight="1">
      <c r="D894" s="43"/>
      <c r="K894" s="51"/>
      <c r="L894" s="51"/>
    </row>
    <row r="895" spans="4:12" ht="15.75" customHeight="1">
      <c r="D895" s="43"/>
      <c r="K895" s="51"/>
      <c r="L895" s="51"/>
    </row>
    <row r="896" spans="4:12" ht="15.75" customHeight="1">
      <c r="D896" s="43"/>
      <c r="K896" s="51"/>
      <c r="L896" s="51"/>
    </row>
    <row r="897" spans="4:12" ht="15.75" customHeight="1">
      <c r="D897" s="43"/>
      <c r="K897" s="51"/>
      <c r="L897" s="51"/>
    </row>
    <row r="898" spans="4:12" ht="15.75" customHeight="1">
      <c r="D898" s="43"/>
      <c r="K898" s="51"/>
      <c r="L898" s="51"/>
    </row>
    <row r="899" spans="4:12" ht="15.75" customHeight="1">
      <c r="D899" s="43"/>
      <c r="K899" s="51"/>
      <c r="L899" s="51"/>
    </row>
    <row r="900" spans="4:12" ht="15.75" customHeight="1">
      <c r="D900" s="43"/>
      <c r="K900" s="51"/>
      <c r="L900" s="51"/>
    </row>
    <row r="901" spans="4:12" ht="15.75" customHeight="1">
      <c r="D901" s="43"/>
      <c r="K901" s="51"/>
      <c r="L901" s="51"/>
    </row>
    <row r="902" spans="4:12" ht="15.75" customHeight="1">
      <c r="D902" s="43"/>
      <c r="K902" s="51"/>
      <c r="L902" s="51"/>
    </row>
    <row r="903" spans="4:12" ht="15.75" customHeight="1">
      <c r="D903" s="43"/>
      <c r="K903" s="51"/>
      <c r="L903" s="51"/>
    </row>
    <row r="904" spans="4:12" ht="15.75" customHeight="1">
      <c r="D904" s="43"/>
      <c r="K904" s="51"/>
      <c r="L904" s="51"/>
    </row>
    <row r="905" spans="4:12" ht="15.75" customHeight="1">
      <c r="D905" s="43"/>
      <c r="K905" s="51"/>
      <c r="L905" s="51"/>
    </row>
    <row r="906" spans="4:12" ht="15.75" customHeight="1">
      <c r="D906" s="43"/>
      <c r="K906" s="51"/>
      <c r="L906" s="51"/>
    </row>
    <row r="907" spans="4:12" ht="15.75" customHeight="1">
      <c r="D907" s="43"/>
      <c r="K907" s="51"/>
      <c r="L907" s="51"/>
    </row>
    <row r="908" spans="4:12" ht="15.75" customHeight="1">
      <c r="D908" s="43"/>
      <c r="K908" s="51"/>
      <c r="L908" s="51"/>
    </row>
    <row r="909" spans="4:12" ht="15.75" customHeight="1">
      <c r="D909" s="43"/>
      <c r="K909" s="51"/>
      <c r="L909" s="51"/>
    </row>
    <row r="910" spans="4:12" ht="15.75" customHeight="1">
      <c r="D910" s="43"/>
      <c r="K910" s="51"/>
      <c r="L910" s="51"/>
    </row>
    <row r="911" spans="4:12" ht="15.75" customHeight="1">
      <c r="D911" s="43"/>
      <c r="K911" s="51"/>
      <c r="L911" s="51"/>
    </row>
    <row r="912" spans="4:12" ht="15.75" customHeight="1">
      <c r="D912" s="43"/>
      <c r="K912" s="51"/>
      <c r="L912" s="51"/>
    </row>
    <row r="913" spans="4:12" ht="15.75" customHeight="1">
      <c r="D913" s="43"/>
      <c r="K913" s="51"/>
      <c r="L913" s="51"/>
    </row>
    <row r="914" spans="4:12" ht="15.75" customHeight="1">
      <c r="D914" s="43"/>
      <c r="K914" s="51"/>
      <c r="L914" s="51"/>
    </row>
    <row r="915" spans="4:12" ht="15.75" customHeight="1">
      <c r="D915" s="43"/>
      <c r="K915" s="51"/>
      <c r="L915" s="51"/>
    </row>
    <row r="916" spans="4:12" ht="15.75" customHeight="1">
      <c r="D916" s="43"/>
      <c r="K916" s="51"/>
      <c r="L916" s="51"/>
    </row>
    <row r="917" spans="4:12" ht="15.75" customHeight="1">
      <c r="D917" s="43"/>
      <c r="K917" s="51"/>
      <c r="L917" s="51"/>
    </row>
    <row r="918" spans="4:12" ht="15.75" customHeight="1">
      <c r="D918" s="43"/>
      <c r="K918" s="51"/>
      <c r="L918" s="51"/>
    </row>
    <row r="919" spans="4:12" ht="15.75" customHeight="1">
      <c r="D919" s="43"/>
      <c r="K919" s="51"/>
      <c r="L919" s="51"/>
    </row>
    <row r="920" spans="4:12" ht="15.75" customHeight="1">
      <c r="D920" s="43"/>
      <c r="K920" s="51"/>
      <c r="L920" s="51"/>
    </row>
    <row r="921" spans="4:12" ht="15.75" customHeight="1">
      <c r="D921" s="43"/>
      <c r="K921" s="51"/>
      <c r="L921" s="51"/>
    </row>
    <row r="922" spans="4:12" ht="15.75" customHeight="1">
      <c r="D922" s="43"/>
      <c r="K922" s="51"/>
      <c r="L922" s="51"/>
    </row>
    <row r="923" spans="4:12" ht="15.75" customHeight="1">
      <c r="D923" s="43"/>
      <c r="K923" s="51"/>
      <c r="L923" s="51"/>
    </row>
    <row r="924" spans="4:12" ht="15.75" customHeight="1">
      <c r="D924" s="43"/>
      <c r="K924" s="51"/>
      <c r="L924" s="51"/>
    </row>
    <row r="925" spans="4:12" ht="15.75" customHeight="1">
      <c r="D925" s="43"/>
      <c r="K925" s="51"/>
      <c r="L925" s="51"/>
    </row>
    <row r="926" spans="4:12" ht="15.75" customHeight="1">
      <c r="D926" s="43"/>
      <c r="K926" s="51"/>
      <c r="L926" s="51"/>
    </row>
    <row r="927" spans="4:12" ht="15.75" customHeight="1">
      <c r="D927" s="43"/>
      <c r="K927" s="51"/>
      <c r="L927" s="51"/>
    </row>
    <row r="928" spans="4:12" ht="15.75" customHeight="1">
      <c r="D928" s="43"/>
      <c r="K928" s="51"/>
      <c r="L928" s="51"/>
    </row>
    <row r="929" spans="4:12" ht="15.75" customHeight="1">
      <c r="D929" s="43"/>
      <c r="K929" s="51"/>
      <c r="L929" s="51"/>
    </row>
    <row r="930" spans="4:12" ht="15.75" customHeight="1">
      <c r="D930" s="43"/>
      <c r="K930" s="51"/>
      <c r="L930" s="51"/>
    </row>
    <row r="931" spans="4:12" ht="15.75" customHeight="1">
      <c r="D931" s="43"/>
      <c r="K931" s="51"/>
      <c r="L931" s="51"/>
    </row>
    <row r="932" spans="4:12" ht="15.75" customHeight="1">
      <c r="D932" s="43"/>
      <c r="K932" s="51"/>
      <c r="L932" s="51"/>
    </row>
    <row r="933" spans="4:12" ht="15.75" customHeight="1">
      <c r="D933" s="43"/>
      <c r="K933" s="51"/>
      <c r="L933" s="51"/>
    </row>
    <row r="934" spans="4:12" ht="15.75" customHeight="1">
      <c r="D934" s="43"/>
      <c r="K934" s="51"/>
      <c r="L934" s="51"/>
    </row>
    <row r="935" spans="4:12" ht="15.75" customHeight="1">
      <c r="D935" s="43"/>
      <c r="K935" s="51"/>
      <c r="L935" s="51"/>
    </row>
    <row r="936" spans="4:12" ht="15.75" customHeight="1">
      <c r="D936" s="43"/>
      <c r="K936" s="51"/>
      <c r="L936" s="51"/>
    </row>
    <row r="937" spans="4:12" ht="15.75" customHeight="1">
      <c r="D937" s="43"/>
      <c r="K937" s="51"/>
      <c r="L937" s="51"/>
    </row>
    <row r="938" spans="4:12" ht="15.75" customHeight="1">
      <c r="D938" s="43"/>
      <c r="K938" s="51"/>
      <c r="L938" s="51"/>
    </row>
    <row r="939" spans="4:12" ht="15.75" customHeight="1">
      <c r="D939" s="43"/>
      <c r="K939" s="51"/>
      <c r="L939" s="51"/>
    </row>
    <row r="940" spans="4:12" ht="15.75" customHeight="1">
      <c r="D940" s="43"/>
      <c r="K940" s="51"/>
      <c r="L940" s="51"/>
    </row>
    <row r="941" spans="4:12" ht="15.75" customHeight="1">
      <c r="D941" s="43"/>
      <c r="K941" s="51"/>
      <c r="L941" s="51"/>
    </row>
    <row r="942" spans="4:12" ht="15.75" customHeight="1">
      <c r="D942" s="43"/>
      <c r="K942" s="51"/>
      <c r="L942" s="51"/>
    </row>
    <row r="943" spans="4:12" ht="15.75" customHeight="1">
      <c r="D943" s="43"/>
      <c r="K943" s="51"/>
      <c r="L943" s="51"/>
    </row>
    <row r="944" spans="4:12" ht="15.75" customHeight="1">
      <c r="D944" s="43"/>
      <c r="K944" s="51"/>
      <c r="L944" s="51"/>
    </row>
    <row r="945" spans="4:12" ht="15.75" customHeight="1">
      <c r="D945" s="43"/>
      <c r="K945" s="51"/>
      <c r="L945" s="51"/>
    </row>
    <row r="946" spans="4:12" ht="15.75" customHeight="1">
      <c r="D946" s="43"/>
      <c r="K946" s="51"/>
      <c r="L946" s="51"/>
    </row>
    <row r="947" spans="4:12" ht="15.75" customHeight="1">
      <c r="D947" s="43"/>
      <c r="K947" s="51"/>
      <c r="L947" s="51"/>
    </row>
    <row r="948" spans="4:12" ht="15.75" customHeight="1">
      <c r="D948" s="43"/>
      <c r="K948" s="51"/>
      <c r="L948" s="51"/>
    </row>
    <row r="949" spans="4:12" ht="15.75" customHeight="1">
      <c r="D949" s="43"/>
      <c r="K949" s="51"/>
      <c r="L949" s="51"/>
    </row>
    <row r="950" spans="4:12" ht="15.75" customHeight="1">
      <c r="D950" s="43"/>
      <c r="K950" s="51"/>
      <c r="L950" s="51"/>
    </row>
    <row r="951" spans="4:12" ht="15.75" customHeight="1">
      <c r="D951" s="43"/>
      <c r="K951" s="51"/>
      <c r="L951" s="51"/>
    </row>
    <row r="952" spans="4:12" ht="15.75" customHeight="1">
      <c r="D952" s="43"/>
      <c r="K952" s="51"/>
      <c r="L952" s="51"/>
    </row>
    <row r="953" spans="4:12" ht="15.75" customHeight="1">
      <c r="D953" s="43"/>
      <c r="K953" s="51"/>
      <c r="L953" s="51"/>
    </row>
    <row r="954" spans="4:12" ht="15.75" customHeight="1">
      <c r="D954" s="43"/>
      <c r="K954" s="51"/>
      <c r="L954" s="51"/>
    </row>
    <row r="955" spans="4:12" ht="15.75" customHeight="1">
      <c r="D955" s="43"/>
      <c r="K955" s="51"/>
      <c r="L955" s="51"/>
    </row>
    <row r="956" spans="4:12" ht="15.75" customHeight="1">
      <c r="D956" s="43"/>
      <c r="K956" s="51"/>
      <c r="L956" s="51"/>
    </row>
    <row r="957" spans="4:12" ht="15.75" customHeight="1">
      <c r="D957" s="43"/>
      <c r="K957" s="51"/>
      <c r="L957" s="51"/>
    </row>
    <row r="958" spans="4:12" ht="15.75" customHeight="1">
      <c r="D958" s="43"/>
      <c r="K958" s="51"/>
      <c r="L958" s="51"/>
    </row>
    <row r="959" spans="4:12" ht="15.75" customHeight="1">
      <c r="D959" s="43"/>
      <c r="K959" s="51"/>
      <c r="L959" s="51"/>
    </row>
    <row r="960" spans="4:12" ht="15.75" customHeight="1">
      <c r="D960" s="43"/>
      <c r="K960" s="51"/>
      <c r="L960" s="51"/>
    </row>
    <row r="961" spans="4:12" ht="15.75" customHeight="1">
      <c r="D961" s="43"/>
      <c r="K961" s="51"/>
      <c r="L961" s="51"/>
    </row>
    <row r="962" spans="4:12" ht="15.75" customHeight="1">
      <c r="D962" s="43"/>
      <c r="K962" s="51"/>
      <c r="L962" s="51"/>
    </row>
    <row r="963" spans="4:12" ht="15.75" customHeight="1">
      <c r="D963" s="43"/>
      <c r="K963" s="51"/>
      <c r="L963" s="51"/>
    </row>
    <row r="964" spans="4:12" ht="15.75" customHeight="1">
      <c r="D964" s="43"/>
      <c r="K964" s="51"/>
      <c r="L964" s="51"/>
    </row>
    <row r="965" spans="4:12" ht="15.75" customHeight="1">
      <c r="D965" s="43"/>
      <c r="K965" s="51"/>
      <c r="L965" s="51"/>
    </row>
    <row r="966" spans="4:12" ht="15.75" customHeight="1">
      <c r="D966" s="43"/>
      <c r="K966" s="51"/>
      <c r="L966" s="51"/>
    </row>
    <row r="967" spans="4:12" ht="15.75" customHeight="1">
      <c r="D967" s="43"/>
      <c r="K967" s="51"/>
      <c r="L967" s="51"/>
    </row>
    <row r="968" spans="4:12" ht="15.75" customHeight="1">
      <c r="D968" s="43"/>
      <c r="K968" s="51"/>
      <c r="L968" s="51"/>
    </row>
    <row r="969" spans="4:12" ht="15.75" customHeight="1">
      <c r="D969" s="43"/>
      <c r="K969" s="51"/>
      <c r="L969" s="51"/>
    </row>
    <row r="970" spans="4:12" ht="15.75" customHeight="1">
      <c r="D970" s="43"/>
      <c r="K970" s="51"/>
      <c r="L970" s="51"/>
    </row>
    <row r="971" spans="4:12" ht="15.75" customHeight="1">
      <c r="D971" s="43"/>
      <c r="K971" s="51"/>
      <c r="L971" s="51"/>
    </row>
    <row r="972" spans="4:12" ht="15.75" customHeight="1">
      <c r="D972" s="43"/>
      <c r="K972" s="51"/>
      <c r="L972" s="51"/>
    </row>
    <row r="973" spans="4:12" ht="15.75" customHeight="1">
      <c r="D973" s="43"/>
      <c r="K973" s="51"/>
      <c r="L973" s="51"/>
    </row>
    <row r="974" spans="4:12" ht="15.75" customHeight="1">
      <c r="D974" s="43"/>
      <c r="K974" s="51"/>
      <c r="L974" s="51"/>
    </row>
    <row r="975" spans="4:12" ht="15.75" customHeight="1">
      <c r="D975" s="43"/>
      <c r="K975" s="51"/>
      <c r="L975" s="51"/>
    </row>
    <row r="976" spans="4:12" ht="15.75" customHeight="1">
      <c r="D976" s="43"/>
      <c r="K976" s="51"/>
      <c r="L976" s="51"/>
    </row>
    <row r="977" spans="4:12" ht="15.75" customHeight="1">
      <c r="D977" s="43"/>
      <c r="K977" s="51"/>
      <c r="L977" s="51"/>
    </row>
    <row r="978" spans="4:12" ht="15.75" customHeight="1">
      <c r="D978" s="43"/>
      <c r="K978" s="51"/>
      <c r="L978" s="51"/>
    </row>
    <row r="979" spans="4:12" ht="15.75" customHeight="1">
      <c r="D979" s="43"/>
      <c r="K979" s="51"/>
      <c r="L979" s="51"/>
    </row>
    <row r="980" spans="4:12" ht="15.75" customHeight="1">
      <c r="D980" s="43"/>
      <c r="K980" s="51"/>
      <c r="L980" s="51"/>
    </row>
    <row r="981" spans="4:12" ht="15.75" customHeight="1">
      <c r="D981" s="43"/>
      <c r="K981" s="51"/>
      <c r="L981" s="51"/>
    </row>
    <row r="982" spans="4:12" ht="15.75" customHeight="1">
      <c r="D982" s="43"/>
      <c r="K982" s="51"/>
      <c r="L982" s="51"/>
    </row>
    <row r="983" spans="4:12" ht="15.75" customHeight="1">
      <c r="D983" s="43"/>
      <c r="K983" s="51"/>
      <c r="L983" s="51"/>
    </row>
    <row r="984" spans="4:12" ht="15.75" customHeight="1">
      <c r="D984" s="43"/>
      <c r="K984" s="51"/>
      <c r="L984" s="51"/>
    </row>
    <row r="985" spans="4:12" ht="15.75" customHeight="1">
      <c r="D985" s="43"/>
      <c r="K985" s="51"/>
      <c r="L985" s="51"/>
    </row>
    <row r="986" spans="4:12" ht="15.75" customHeight="1">
      <c r="D986" s="43"/>
      <c r="K986" s="51"/>
      <c r="L986" s="51"/>
    </row>
    <row r="987" spans="4:12" ht="15.75" customHeight="1">
      <c r="D987" s="43"/>
      <c r="K987" s="51"/>
      <c r="L987" s="51"/>
    </row>
    <row r="988" spans="4:12" ht="15.75" customHeight="1">
      <c r="D988" s="43"/>
      <c r="K988" s="51"/>
      <c r="L988" s="51"/>
    </row>
    <row r="989" spans="4:12" ht="15.75" customHeight="1">
      <c r="D989" s="43"/>
      <c r="K989" s="51"/>
      <c r="L989" s="51"/>
    </row>
    <row r="990" spans="4:12" ht="15.75" customHeight="1">
      <c r="D990" s="43"/>
      <c r="K990" s="51"/>
      <c r="L990" s="51"/>
    </row>
    <row r="991" spans="4:12" ht="15.75" customHeight="1">
      <c r="D991" s="43"/>
      <c r="K991" s="51"/>
      <c r="L991" s="51"/>
    </row>
    <row r="992" spans="4:12" ht="15.75" customHeight="1">
      <c r="D992" s="43"/>
      <c r="K992" s="51"/>
      <c r="L992" s="51"/>
    </row>
    <row r="993" spans="4:12" ht="15.75" customHeight="1">
      <c r="D993" s="43"/>
      <c r="K993" s="51"/>
      <c r="L993" s="51"/>
    </row>
    <row r="994" spans="4:12" ht="15.75" customHeight="1">
      <c r="D994" s="43"/>
      <c r="K994" s="51"/>
      <c r="L994" s="51"/>
    </row>
    <row r="995" spans="4:12" ht="15.75" customHeight="1">
      <c r="D995" s="43"/>
      <c r="K995" s="51"/>
      <c r="L995" s="51"/>
    </row>
    <row r="996" spans="4:12" ht="15.75" customHeight="1">
      <c r="D996" s="43"/>
      <c r="K996" s="51"/>
      <c r="L996" s="51"/>
    </row>
    <row r="997" spans="4:12" ht="15.75" customHeight="1">
      <c r="D997" s="43"/>
      <c r="K997" s="51"/>
      <c r="L997" s="51"/>
    </row>
    <row r="998" spans="4:12" ht="15.75" customHeight="1">
      <c r="D998" s="43"/>
      <c r="K998" s="51"/>
      <c r="L998" s="51"/>
    </row>
    <row r="999" spans="4:12" ht="15.75" customHeight="1">
      <c r="D999" s="43"/>
      <c r="K999" s="51"/>
      <c r="L999" s="51"/>
    </row>
    <row r="1000" spans="4:12" ht="15.75" customHeight="1">
      <c r="D1000" s="43"/>
      <c r="K1000" s="51"/>
      <c r="L1000" s="51"/>
    </row>
    <row r="1001" spans="4:12" ht="15.75" customHeight="1">
      <c r="D1001" s="43"/>
      <c r="K1001" s="51"/>
      <c r="L1001" s="51"/>
    </row>
    <row r="1002" spans="4:12" ht="15.75" customHeight="1">
      <c r="D1002" s="43"/>
      <c r="K1002" s="51"/>
      <c r="L1002" s="51"/>
    </row>
    <row r="1003" spans="4:12" ht="15.75" customHeight="1">
      <c r="D1003" s="43"/>
      <c r="K1003" s="51"/>
      <c r="L1003" s="51"/>
    </row>
    <row r="1004" spans="4:12" ht="15.75" customHeight="1">
      <c r="D1004" s="43"/>
      <c r="K1004" s="51"/>
      <c r="L1004" s="51"/>
    </row>
    <row r="1005" spans="4:12" ht="15.75" customHeight="1">
      <c r="D1005" s="43"/>
      <c r="K1005" s="51"/>
      <c r="L1005" s="51"/>
    </row>
    <row r="1006" spans="4:12" ht="15.75" customHeight="1">
      <c r="D1006" s="43"/>
      <c r="K1006" s="51"/>
      <c r="L1006" s="51"/>
    </row>
    <row r="1007" spans="4:12" ht="15.75" customHeight="1">
      <c r="D1007" s="43"/>
      <c r="K1007" s="51"/>
      <c r="L1007" s="51"/>
    </row>
    <row r="1008" spans="4:12" ht="15.75" customHeight="1">
      <c r="D1008" s="43"/>
      <c r="K1008" s="51"/>
      <c r="L1008" s="51"/>
    </row>
    <row r="1009" spans="4:12" ht="15.75" customHeight="1">
      <c r="D1009" s="43"/>
      <c r="K1009" s="51"/>
      <c r="L1009" s="51"/>
    </row>
    <row r="1010" spans="4:12" ht="15.75" customHeight="1">
      <c r="D1010" s="43"/>
      <c r="K1010" s="51"/>
      <c r="L1010" s="51"/>
    </row>
    <row r="1011" spans="4:12" ht="15.75" customHeight="1">
      <c r="D1011" s="43"/>
      <c r="K1011" s="51"/>
      <c r="L1011" s="51"/>
    </row>
    <row r="1012" spans="4:12" ht="15.75" customHeight="1">
      <c r="D1012" s="43"/>
      <c r="K1012" s="51"/>
      <c r="L1012" s="51"/>
    </row>
    <row r="1013" spans="4:12" ht="15.75" customHeight="1">
      <c r="D1013" s="43"/>
      <c r="K1013" s="51"/>
      <c r="L1013" s="51"/>
    </row>
    <row r="1014" spans="4:12" ht="15.75" customHeight="1">
      <c r="D1014" s="43"/>
      <c r="K1014" s="51"/>
      <c r="L1014" s="51"/>
    </row>
    <row r="1015" spans="4:12" ht="15.75" customHeight="1">
      <c r="D1015" s="43"/>
      <c r="K1015" s="51"/>
      <c r="L1015" s="51"/>
    </row>
    <row r="1016" spans="4:12" ht="15.75" customHeight="1">
      <c r="D1016" s="43"/>
      <c r="K1016" s="51"/>
      <c r="L1016" s="51"/>
    </row>
    <row r="1017" spans="4:12" ht="15.75" customHeight="1">
      <c r="D1017" s="43"/>
      <c r="K1017" s="51"/>
      <c r="L1017" s="51"/>
    </row>
    <row r="1018" spans="4:12" ht="15.75" customHeight="1">
      <c r="D1018" s="43"/>
      <c r="K1018" s="51"/>
      <c r="L1018" s="51"/>
    </row>
    <row r="1019" spans="4:12" ht="15.75" customHeight="1">
      <c r="D1019" s="43"/>
      <c r="K1019" s="51"/>
      <c r="L1019" s="51"/>
    </row>
    <row r="1020" spans="4:12" ht="15.75" customHeight="1">
      <c r="D1020" s="43"/>
      <c r="K1020" s="51"/>
      <c r="L1020" s="51"/>
    </row>
    <row r="1021" spans="4:12" ht="15.75" customHeight="1">
      <c r="D1021" s="43"/>
      <c r="K1021" s="51"/>
      <c r="L1021" s="51"/>
    </row>
    <row r="1022" spans="4:12" ht="15.75" customHeight="1">
      <c r="D1022" s="43"/>
      <c r="K1022" s="51"/>
      <c r="L1022" s="51"/>
    </row>
    <row r="1023" spans="4:12" ht="15.75" customHeight="1">
      <c r="D1023" s="43"/>
      <c r="K1023" s="51"/>
      <c r="L1023" s="51"/>
    </row>
    <row r="1024" spans="4:12" ht="15.75" customHeight="1">
      <c r="D1024" s="43"/>
      <c r="K1024" s="51"/>
      <c r="L1024" s="51"/>
    </row>
    <row r="1025" spans="4:12" ht="15.75" customHeight="1">
      <c r="D1025" s="43"/>
      <c r="K1025" s="51"/>
      <c r="L1025" s="51"/>
    </row>
    <row r="1026" spans="4:12" ht="15.75" customHeight="1">
      <c r="D1026" s="43"/>
      <c r="K1026" s="51"/>
      <c r="L1026" s="51"/>
    </row>
    <row r="1027" spans="4:12" ht="15.75" customHeight="1">
      <c r="D1027" s="43"/>
      <c r="K1027" s="51"/>
      <c r="L1027" s="51"/>
    </row>
    <row r="1028" spans="4:12" ht="15.75" customHeight="1">
      <c r="D1028" s="43"/>
      <c r="K1028" s="51"/>
      <c r="L1028" s="51"/>
    </row>
    <row r="1029" spans="4:12" ht="15.75" customHeight="1">
      <c r="D1029" s="43"/>
      <c r="K1029" s="51"/>
      <c r="L1029" s="51"/>
    </row>
    <row r="1030" spans="4:12" ht="15.75" customHeight="1">
      <c r="D1030" s="43"/>
      <c r="K1030" s="51"/>
      <c r="L1030" s="51"/>
    </row>
    <row r="1031" spans="4:12" ht="15.75" customHeight="1">
      <c r="D1031" s="43"/>
      <c r="K1031" s="51"/>
      <c r="L1031" s="51"/>
    </row>
    <row r="1032" spans="4:12" ht="15.75" customHeight="1">
      <c r="D1032" s="43"/>
      <c r="K1032" s="51"/>
      <c r="L1032" s="51"/>
    </row>
    <row r="1033" spans="4:12" ht="15.75" customHeight="1">
      <c r="D1033" s="43"/>
      <c r="K1033" s="51"/>
      <c r="L1033" s="51"/>
    </row>
    <row r="1034" spans="4:12" ht="15.75" customHeight="1">
      <c r="D1034" s="43"/>
      <c r="K1034" s="51"/>
      <c r="L1034" s="51"/>
    </row>
    <row r="1035" spans="4:12" ht="15.75" customHeight="1">
      <c r="D1035" s="43"/>
      <c r="K1035" s="51"/>
      <c r="L1035" s="51"/>
    </row>
    <row r="1036" spans="4:12" ht="15.75" customHeight="1">
      <c r="D1036" s="43"/>
      <c r="K1036" s="51"/>
      <c r="L1036" s="51"/>
    </row>
    <row r="1037" spans="4:12" ht="15.75" customHeight="1">
      <c r="D1037" s="43"/>
      <c r="K1037" s="51"/>
      <c r="L1037" s="51"/>
    </row>
    <row r="1038" spans="4:12" ht="15.75" customHeight="1">
      <c r="D1038" s="43"/>
      <c r="K1038" s="51"/>
      <c r="L1038" s="51"/>
    </row>
    <row r="1039" spans="4:12" ht="15.75" customHeight="1">
      <c r="D1039" s="43"/>
      <c r="K1039" s="51"/>
      <c r="L1039" s="51"/>
    </row>
    <row r="1040" spans="4:12" ht="15.75" customHeight="1">
      <c r="D1040" s="43"/>
      <c r="K1040" s="51"/>
      <c r="L1040" s="51"/>
    </row>
    <row r="1041" spans="4:12" ht="15.75" customHeight="1">
      <c r="D1041" s="43"/>
      <c r="K1041" s="51"/>
      <c r="L1041" s="51"/>
    </row>
    <row r="1042" spans="4:12" ht="15.75" customHeight="1">
      <c r="D1042" s="43"/>
      <c r="K1042" s="51"/>
      <c r="L1042" s="51"/>
    </row>
    <row r="1043" spans="4:12" ht="15.75" customHeight="1">
      <c r="D1043" s="43"/>
      <c r="K1043" s="51"/>
      <c r="L1043" s="51"/>
    </row>
    <row r="1044" spans="4:12" ht="15.75" customHeight="1">
      <c r="D1044" s="43"/>
      <c r="K1044" s="51"/>
      <c r="L1044" s="51"/>
    </row>
    <row r="1045" spans="4:12" ht="15.75" customHeight="1">
      <c r="D1045" s="43"/>
      <c r="K1045" s="51"/>
      <c r="L1045" s="51"/>
    </row>
    <row r="1046" spans="4:12" ht="15.75" customHeight="1">
      <c r="D1046" s="43"/>
      <c r="K1046" s="51"/>
      <c r="L1046" s="51"/>
    </row>
    <row r="1047" spans="4:12" ht="15.75" customHeight="1">
      <c r="D1047" s="43"/>
      <c r="K1047" s="51"/>
      <c r="L1047" s="51"/>
    </row>
    <row r="1048" spans="4:12" ht="15.75" customHeight="1">
      <c r="D1048" s="43"/>
      <c r="K1048" s="51"/>
      <c r="L1048" s="51"/>
    </row>
    <row r="1049" spans="4:12" ht="15.75" customHeight="1">
      <c r="D1049" s="43"/>
      <c r="K1049" s="51"/>
      <c r="L1049" s="51"/>
    </row>
    <row r="1050" spans="4:12" ht="15.75" customHeight="1">
      <c r="D1050" s="43"/>
      <c r="K1050" s="51"/>
      <c r="L1050" s="51"/>
    </row>
    <row r="1051" spans="4:12" ht="15.75" customHeight="1">
      <c r="D1051" s="43"/>
      <c r="K1051" s="51"/>
      <c r="L1051" s="51"/>
    </row>
    <row r="1052" spans="4:12" ht="15.75" customHeight="1">
      <c r="D1052" s="43"/>
      <c r="K1052" s="51"/>
      <c r="L1052" s="51"/>
    </row>
    <row r="1053" spans="4:12" ht="15.75" customHeight="1">
      <c r="D1053" s="43"/>
      <c r="K1053" s="51"/>
      <c r="L1053" s="51"/>
    </row>
    <row r="1054" spans="4:12" ht="15.75" customHeight="1">
      <c r="D1054" s="43"/>
      <c r="K1054" s="51"/>
      <c r="L1054" s="51"/>
    </row>
    <row r="1055" spans="4:12" ht="15.75" customHeight="1">
      <c r="D1055" s="43"/>
      <c r="K1055" s="51"/>
      <c r="L1055" s="51"/>
    </row>
    <row r="1056" spans="4:12" ht="15.75" customHeight="1">
      <c r="D1056" s="43"/>
      <c r="K1056" s="51"/>
      <c r="L1056" s="51"/>
    </row>
    <row r="1057" spans="4:12" ht="15.75" customHeight="1">
      <c r="D1057" s="43"/>
      <c r="K1057" s="51"/>
      <c r="L1057" s="51"/>
    </row>
    <row r="1058" spans="4:12" ht="15.75" customHeight="1">
      <c r="D1058" s="43"/>
      <c r="K1058" s="51"/>
      <c r="L1058" s="51"/>
    </row>
    <row r="1059" spans="4:12" ht="15.75" customHeight="1">
      <c r="D1059" s="43"/>
      <c r="K1059" s="51"/>
      <c r="L1059" s="51"/>
    </row>
    <row r="1060" spans="4:12" ht="15.75" customHeight="1">
      <c r="D1060" s="43"/>
      <c r="K1060" s="51"/>
      <c r="L1060" s="51"/>
    </row>
    <row r="1061" spans="4:12" ht="15.75" customHeight="1">
      <c r="D1061" s="43"/>
      <c r="K1061" s="51"/>
      <c r="L1061" s="51"/>
    </row>
    <row r="1062" spans="4:12" ht="15.75" customHeight="1">
      <c r="D1062" s="43"/>
      <c r="K1062" s="51"/>
      <c r="L1062" s="51"/>
    </row>
    <row r="1063" spans="4:12" ht="15.75" customHeight="1">
      <c r="D1063" s="43"/>
      <c r="K1063" s="51"/>
      <c r="L1063" s="51"/>
    </row>
    <row r="1064" spans="4:12" ht="15.75" customHeight="1">
      <c r="D1064" s="43"/>
      <c r="K1064" s="51"/>
      <c r="L1064" s="51"/>
    </row>
    <row r="1065" spans="4:12" ht="15.75" customHeight="1">
      <c r="D1065" s="43"/>
      <c r="K1065" s="51"/>
      <c r="L1065" s="51"/>
    </row>
    <row r="1066" spans="4:12" ht="15.75" customHeight="1">
      <c r="D1066" s="43"/>
      <c r="K1066" s="51"/>
      <c r="L1066" s="51"/>
    </row>
    <row r="1067" spans="4:12" ht="15.75" customHeight="1">
      <c r="D1067" s="43"/>
      <c r="K1067" s="51"/>
      <c r="L1067" s="51"/>
    </row>
    <row r="1068" spans="4:12" ht="15.75" customHeight="1">
      <c r="D1068" s="43"/>
      <c r="K1068" s="51"/>
      <c r="L1068" s="51"/>
    </row>
    <row r="1069" spans="4:12" ht="15.75" customHeight="1">
      <c r="D1069" s="43"/>
      <c r="K1069" s="51"/>
      <c r="L1069" s="51"/>
    </row>
    <row r="1070" spans="4:12" ht="15.75" customHeight="1">
      <c r="D1070" s="43"/>
      <c r="K1070" s="51"/>
      <c r="L1070" s="51"/>
    </row>
    <row r="1071" spans="4:12" ht="15.75" customHeight="1">
      <c r="D1071" s="43"/>
      <c r="K1071" s="51"/>
      <c r="L1071" s="51"/>
    </row>
    <row r="1072" spans="4:12" ht="15.75" customHeight="1">
      <c r="D1072" s="43"/>
      <c r="K1072" s="51"/>
      <c r="L1072" s="51"/>
    </row>
    <row r="1073" spans="4:12" ht="15.75" customHeight="1">
      <c r="D1073" s="43"/>
      <c r="K1073" s="51"/>
      <c r="L1073" s="51"/>
    </row>
    <row r="1074" spans="4:12" ht="15.75" customHeight="1">
      <c r="D1074" s="43"/>
      <c r="K1074" s="51"/>
      <c r="L1074" s="51"/>
    </row>
    <row r="1075" spans="4:12" ht="15.75" customHeight="1">
      <c r="D1075" s="43"/>
      <c r="K1075" s="51"/>
      <c r="L1075" s="51"/>
    </row>
    <row r="1076" spans="4:12" ht="15.75" customHeight="1">
      <c r="D1076" s="43"/>
      <c r="K1076" s="51"/>
      <c r="L1076" s="51"/>
    </row>
    <row r="1077" spans="4:12" ht="15.75" customHeight="1">
      <c r="D1077" s="43"/>
      <c r="K1077" s="51"/>
      <c r="L1077" s="51"/>
    </row>
    <row r="1078" spans="4:12" ht="15.75" customHeight="1">
      <c r="D1078" s="43"/>
      <c r="K1078" s="51"/>
      <c r="L1078" s="51"/>
    </row>
    <row r="1079" spans="4:12" ht="15.75" customHeight="1">
      <c r="D1079" s="43"/>
      <c r="K1079" s="51"/>
      <c r="L1079" s="51"/>
    </row>
    <row r="1080" spans="4:12" ht="15.75" customHeight="1">
      <c r="D1080" s="43"/>
      <c r="K1080" s="51"/>
      <c r="L1080" s="51"/>
    </row>
    <row r="1081" spans="4:12" ht="15.75" customHeight="1">
      <c r="D1081" s="43"/>
      <c r="K1081" s="51"/>
      <c r="L1081" s="51"/>
    </row>
    <row r="1082" spans="4:12" ht="15.75" customHeight="1">
      <c r="D1082" s="43"/>
      <c r="K1082" s="51"/>
      <c r="L1082" s="51"/>
    </row>
    <row r="1083" spans="4:12" ht="15.75" customHeight="1">
      <c r="D1083" s="43"/>
      <c r="K1083" s="51"/>
      <c r="L1083" s="51"/>
    </row>
    <row r="1084" spans="4:12" ht="15.75" customHeight="1">
      <c r="D1084" s="43"/>
      <c r="K1084" s="51"/>
      <c r="L1084" s="51"/>
    </row>
    <row r="1085" spans="4:12" ht="15.75" customHeight="1">
      <c r="D1085" s="43"/>
      <c r="K1085" s="51"/>
      <c r="L1085" s="51"/>
    </row>
    <row r="1086" spans="4:12" ht="15.75" customHeight="1">
      <c r="D1086" s="43"/>
      <c r="K1086" s="51"/>
      <c r="L1086" s="51"/>
    </row>
    <row r="1087" spans="4:12" ht="15.75" customHeight="1">
      <c r="D1087" s="43"/>
      <c r="K1087" s="51"/>
      <c r="L1087" s="51"/>
    </row>
    <row r="1088" spans="4:12" ht="15.75" customHeight="1">
      <c r="D1088" s="43"/>
      <c r="K1088" s="51"/>
      <c r="L1088" s="51"/>
    </row>
    <row r="1089" spans="4:12" ht="15.75" customHeight="1">
      <c r="D1089" s="43"/>
      <c r="K1089" s="51"/>
      <c r="L1089" s="51"/>
    </row>
    <row r="1090" spans="4:12" ht="15.75" customHeight="1">
      <c r="D1090" s="43"/>
      <c r="K1090" s="51"/>
      <c r="L1090" s="51"/>
    </row>
    <row r="1091" spans="4:12" ht="15.75" customHeight="1">
      <c r="D1091" s="43"/>
      <c r="K1091" s="51"/>
      <c r="L1091" s="51"/>
    </row>
    <row r="1092" spans="4:12" ht="15.75" customHeight="1">
      <c r="D1092" s="43"/>
      <c r="K1092" s="51"/>
      <c r="L1092" s="51"/>
    </row>
    <row r="1093" spans="4:12" ht="15.75" customHeight="1">
      <c r="D1093" s="43"/>
      <c r="K1093" s="51"/>
      <c r="L1093" s="51"/>
    </row>
    <row r="1094" spans="4:12" ht="15.75" customHeight="1">
      <c r="D1094" s="43"/>
      <c r="K1094" s="51"/>
      <c r="L1094" s="51"/>
    </row>
    <row r="1095" spans="4:12" ht="15.75" customHeight="1">
      <c r="D1095" s="43"/>
      <c r="K1095" s="51"/>
      <c r="L1095" s="51"/>
    </row>
    <row r="1096" spans="4:12" ht="15.75" customHeight="1">
      <c r="D1096" s="43"/>
      <c r="K1096" s="51"/>
      <c r="L1096" s="51"/>
    </row>
    <row r="1097" spans="4:12" ht="15.75" customHeight="1">
      <c r="D1097" s="43"/>
      <c r="K1097" s="51"/>
      <c r="L1097" s="51"/>
    </row>
    <row r="1098" spans="4:12" ht="15.75" customHeight="1">
      <c r="D1098" s="43"/>
      <c r="K1098" s="51"/>
      <c r="L1098" s="51"/>
    </row>
    <row r="1099" spans="4:12" ht="15.75" customHeight="1">
      <c r="D1099" s="43"/>
      <c r="K1099" s="51"/>
      <c r="L1099" s="51"/>
    </row>
    <row r="1100" spans="4:12" ht="15.75" customHeight="1">
      <c r="D1100" s="43"/>
      <c r="K1100" s="51"/>
      <c r="L1100" s="51"/>
    </row>
    <row r="1101" spans="4:12" ht="15.75" customHeight="1">
      <c r="D1101" s="43"/>
      <c r="K1101" s="51"/>
      <c r="L1101" s="51"/>
    </row>
    <row r="1102" spans="4:12" ht="15.75" customHeight="1">
      <c r="D1102" s="43"/>
      <c r="K1102" s="51"/>
      <c r="L1102" s="51"/>
    </row>
    <row r="1103" spans="4:12" ht="15.75" customHeight="1">
      <c r="D1103" s="43"/>
      <c r="K1103" s="51"/>
      <c r="L1103" s="51"/>
    </row>
    <row r="1104" spans="4:12" ht="15.75" customHeight="1">
      <c r="D1104" s="43"/>
      <c r="K1104" s="51"/>
      <c r="L1104" s="51"/>
    </row>
    <row r="1105" spans="4:12" ht="15.75" customHeight="1">
      <c r="D1105" s="43"/>
      <c r="K1105" s="51"/>
      <c r="L1105" s="51"/>
    </row>
    <row r="1106" spans="4:12" ht="15.75" customHeight="1">
      <c r="D1106" s="43"/>
      <c r="K1106" s="51"/>
      <c r="L1106" s="51"/>
    </row>
    <row r="1107" spans="4:12" ht="15.75" customHeight="1">
      <c r="D1107" s="43"/>
      <c r="K1107" s="51"/>
      <c r="L1107" s="51"/>
    </row>
    <row r="1108" spans="4:12" ht="15.75" customHeight="1">
      <c r="D1108" s="43"/>
      <c r="K1108" s="51"/>
      <c r="L1108" s="51"/>
    </row>
    <row r="1109" spans="4:12" ht="15.75" customHeight="1">
      <c r="D1109" s="43"/>
      <c r="K1109" s="51"/>
      <c r="L1109" s="51"/>
    </row>
    <row r="1110" spans="4:12" ht="15.75" customHeight="1">
      <c r="D1110" s="43"/>
      <c r="K1110" s="51"/>
      <c r="L1110" s="51"/>
    </row>
    <row r="1111" spans="4:12" ht="15.75" customHeight="1">
      <c r="D1111" s="43"/>
      <c r="K1111" s="51"/>
      <c r="L1111" s="51"/>
    </row>
    <row r="1112" spans="4:12" ht="15.75" customHeight="1">
      <c r="D1112" s="43"/>
      <c r="K1112" s="51"/>
      <c r="L1112" s="51"/>
    </row>
    <row r="1113" spans="4:12" ht="15.75" customHeight="1">
      <c r="D1113" s="43"/>
      <c r="K1113" s="51"/>
      <c r="L1113" s="5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R1021"/>
  <sheetViews>
    <sheetView workbookViewId="0">
      <selection activeCell="D36" sqref="D36"/>
    </sheetView>
  </sheetViews>
  <sheetFormatPr defaultColWidth="12.59765625" defaultRowHeight="15.75" customHeight="1"/>
  <cols>
    <col min="12" max="12" width="18.3984375" customWidth="1"/>
  </cols>
  <sheetData>
    <row r="1" spans="1:18" ht="15.75" customHeight="1">
      <c r="A1" s="41"/>
      <c r="B1" s="41" t="s">
        <v>45</v>
      </c>
      <c r="C1" s="41" t="s">
        <v>0</v>
      </c>
      <c r="D1" s="42" t="s">
        <v>46</v>
      </c>
      <c r="E1" s="41" t="s">
        <v>305</v>
      </c>
      <c r="F1" s="41" t="s">
        <v>306</v>
      </c>
      <c r="G1" s="41" t="s">
        <v>307</v>
      </c>
      <c r="H1" s="41" t="s">
        <v>50</v>
      </c>
      <c r="I1" s="41" t="s">
        <v>51</v>
      </c>
      <c r="J1" s="41" t="s">
        <v>56</v>
      </c>
      <c r="K1" s="45" t="s">
        <v>53</v>
      </c>
      <c r="L1" s="41" t="s">
        <v>54</v>
      </c>
      <c r="N1" s="43"/>
    </row>
    <row r="2" spans="1:18" ht="15.75" customHeight="1">
      <c r="A2" s="41" t="s">
        <v>225</v>
      </c>
      <c r="B2" s="43" t="s">
        <v>226</v>
      </c>
      <c r="C2" s="43" t="s">
        <v>212</v>
      </c>
      <c r="D2" s="44" t="s">
        <v>65</v>
      </c>
      <c r="E2" s="43" t="s">
        <v>353</v>
      </c>
      <c r="F2" s="43" t="s">
        <v>227</v>
      </c>
      <c r="G2" s="43"/>
      <c r="H2" s="43"/>
      <c r="I2" s="43"/>
      <c r="J2" s="43"/>
      <c r="K2" s="46"/>
      <c r="L2" s="43"/>
      <c r="M2" s="43"/>
      <c r="N2" s="43"/>
    </row>
    <row r="3" spans="1:18" ht="15.75" customHeight="1">
      <c r="A3" s="41"/>
      <c r="B3" s="43" t="s">
        <v>226</v>
      </c>
      <c r="C3" s="43" t="s">
        <v>212</v>
      </c>
      <c r="D3" s="44" t="s">
        <v>65</v>
      </c>
      <c r="E3" s="43" t="s">
        <v>229</v>
      </c>
      <c r="F3" s="43" t="s">
        <v>230</v>
      </c>
      <c r="G3" s="43"/>
      <c r="H3" s="43" t="s">
        <v>354</v>
      </c>
      <c r="I3" s="43"/>
      <c r="J3" s="43" t="s">
        <v>355</v>
      </c>
      <c r="K3" s="46">
        <v>2000000</v>
      </c>
      <c r="L3" s="44" t="s">
        <v>356</v>
      </c>
      <c r="M3" s="43"/>
      <c r="N3" s="43"/>
    </row>
    <row r="4" spans="1:18" ht="15.75" customHeight="1">
      <c r="A4" s="41"/>
      <c r="B4" s="43"/>
      <c r="C4" s="43"/>
      <c r="D4" s="43"/>
      <c r="E4" s="43"/>
      <c r="F4" s="43"/>
      <c r="G4" s="43"/>
      <c r="H4" s="43" t="s">
        <v>354</v>
      </c>
      <c r="I4" s="43"/>
      <c r="J4" s="43" t="s">
        <v>355</v>
      </c>
      <c r="K4" s="46">
        <v>500000</v>
      </c>
      <c r="L4" s="43" t="s">
        <v>357</v>
      </c>
      <c r="M4" s="43"/>
      <c r="N4" s="43"/>
    </row>
    <row r="5" spans="1:18" ht="15.75" customHeight="1">
      <c r="A5" s="41"/>
      <c r="B5" s="43"/>
      <c r="C5" s="43"/>
      <c r="D5" s="43"/>
      <c r="E5" s="43"/>
      <c r="F5" s="43"/>
      <c r="G5" s="43"/>
      <c r="H5" s="43"/>
      <c r="I5" s="43"/>
      <c r="J5" s="43"/>
      <c r="M5" s="43"/>
      <c r="N5" s="43"/>
    </row>
    <row r="6" spans="1:18" ht="15.75" customHeight="1">
      <c r="A6" s="41"/>
      <c r="B6" s="43"/>
      <c r="C6" s="43" t="s">
        <v>212</v>
      </c>
      <c r="D6" s="44" t="s">
        <v>65</v>
      </c>
      <c r="E6" s="43" t="s">
        <v>231</v>
      </c>
      <c r="F6" s="43" t="s">
        <v>232</v>
      </c>
      <c r="G6" s="43"/>
      <c r="H6" s="43" t="s">
        <v>358</v>
      </c>
      <c r="I6" s="43" t="s">
        <v>359</v>
      </c>
      <c r="J6" s="43" t="s">
        <v>314</v>
      </c>
      <c r="K6" s="46">
        <v>2500000</v>
      </c>
      <c r="L6" s="43"/>
      <c r="M6" s="43"/>
      <c r="N6" s="43"/>
    </row>
    <row r="7" spans="1:18" ht="15.75" customHeight="1">
      <c r="A7" s="41"/>
      <c r="B7" s="43"/>
      <c r="C7" s="43"/>
      <c r="D7" s="43"/>
      <c r="E7" s="43"/>
      <c r="F7" s="43"/>
      <c r="G7" s="43"/>
      <c r="H7" s="43" t="s">
        <v>358</v>
      </c>
      <c r="I7" s="43" t="s">
        <v>360</v>
      </c>
      <c r="J7" s="43" t="s">
        <v>314</v>
      </c>
      <c r="K7" s="46">
        <v>2000000</v>
      </c>
      <c r="L7" s="43"/>
      <c r="M7" s="43"/>
      <c r="N7" s="43"/>
    </row>
    <row r="8" spans="1:18" ht="15.75" customHeight="1">
      <c r="A8" s="41"/>
      <c r="B8" s="43"/>
      <c r="C8" s="43"/>
      <c r="D8" s="43"/>
      <c r="E8" s="43"/>
      <c r="F8" s="43"/>
      <c r="G8" s="43"/>
      <c r="H8" s="43" t="s">
        <v>358</v>
      </c>
      <c r="I8" s="43" t="s">
        <v>361</v>
      </c>
      <c r="J8" s="43" t="s">
        <v>314</v>
      </c>
      <c r="K8" s="46">
        <v>1700000</v>
      </c>
      <c r="L8" s="43"/>
      <c r="M8" s="43"/>
      <c r="N8" s="43"/>
    </row>
    <row r="9" spans="1:18" ht="15.75" customHeight="1">
      <c r="A9" s="41"/>
      <c r="B9" s="43"/>
      <c r="C9" s="43"/>
      <c r="D9" s="43"/>
      <c r="E9" s="43"/>
      <c r="F9" s="43"/>
      <c r="G9" s="43"/>
      <c r="H9" s="43" t="s">
        <v>358</v>
      </c>
      <c r="I9" s="43" t="s">
        <v>362</v>
      </c>
      <c r="J9" s="43" t="s">
        <v>314</v>
      </c>
      <c r="K9" s="46">
        <v>1100000</v>
      </c>
      <c r="L9" s="43"/>
      <c r="M9" s="43"/>
      <c r="N9" s="43"/>
    </row>
    <row r="10" spans="1:18" ht="15.75" customHeight="1">
      <c r="A10" s="41"/>
      <c r="B10" s="43"/>
      <c r="C10" s="43"/>
      <c r="D10" s="43"/>
      <c r="E10" s="43"/>
      <c r="F10" s="43"/>
      <c r="G10" s="43"/>
      <c r="H10" s="43" t="s">
        <v>358</v>
      </c>
      <c r="I10" s="43" t="s">
        <v>363</v>
      </c>
      <c r="J10" s="43" t="s">
        <v>314</v>
      </c>
      <c r="K10" s="46">
        <v>900000</v>
      </c>
      <c r="L10" s="43"/>
      <c r="M10" s="43"/>
      <c r="N10" s="43"/>
    </row>
    <row r="11" spans="1:18" ht="15.75" customHeight="1">
      <c r="A11" s="41"/>
      <c r="B11" s="43"/>
      <c r="C11" s="43"/>
      <c r="D11" s="43"/>
      <c r="E11" s="43"/>
      <c r="F11" s="43"/>
      <c r="G11" s="43"/>
      <c r="H11" s="43" t="s">
        <v>358</v>
      </c>
      <c r="I11" s="43" t="s">
        <v>364</v>
      </c>
      <c r="J11" s="43" t="s">
        <v>314</v>
      </c>
      <c r="K11" s="46">
        <v>700000</v>
      </c>
      <c r="L11" s="43"/>
      <c r="M11" s="43"/>
      <c r="N11" s="43"/>
    </row>
    <row r="12" spans="1:18" ht="15.75" customHeight="1">
      <c r="A12" s="41"/>
      <c r="B12" s="43"/>
      <c r="C12" s="43"/>
      <c r="D12" s="43"/>
      <c r="E12" s="43"/>
      <c r="F12" s="43"/>
      <c r="G12" s="43"/>
      <c r="H12" s="43" t="s">
        <v>358</v>
      </c>
      <c r="I12" s="43" t="s">
        <v>365</v>
      </c>
      <c r="J12" s="43" t="s">
        <v>366</v>
      </c>
      <c r="K12" s="46">
        <v>500000</v>
      </c>
      <c r="L12" s="43"/>
      <c r="M12" s="43"/>
      <c r="N12" s="43"/>
    </row>
    <row r="13" spans="1:18" ht="15.75" customHeight="1">
      <c r="A13" s="41"/>
      <c r="B13" s="43" t="s">
        <v>226</v>
      </c>
      <c r="D13" s="44" t="s">
        <v>65</v>
      </c>
      <c r="E13" s="43" t="s">
        <v>238</v>
      </c>
      <c r="F13" s="43" t="s">
        <v>244</v>
      </c>
      <c r="G13" s="43"/>
      <c r="H13" s="43" t="s">
        <v>367</v>
      </c>
      <c r="I13" s="43"/>
      <c r="K13" s="46"/>
      <c r="L13" s="43" t="s">
        <v>368</v>
      </c>
      <c r="N13" s="43"/>
    </row>
    <row r="14" spans="1:18" ht="15.75" customHeight="1">
      <c r="A14" s="41"/>
      <c r="B14" s="43"/>
      <c r="D14" s="43"/>
      <c r="E14" s="43"/>
      <c r="F14" s="43"/>
      <c r="G14" s="43"/>
      <c r="H14" s="43" t="s">
        <v>369</v>
      </c>
      <c r="I14" s="47" t="s">
        <v>370</v>
      </c>
      <c r="K14" s="47" t="s">
        <v>371</v>
      </c>
      <c r="L14" s="48" t="s">
        <v>372</v>
      </c>
      <c r="M14" s="47" t="s">
        <v>373</v>
      </c>
      <c r="N14" s="47" t="s">
        <v>374</v>
      </c>
      <c r="O14" s="47" t="s">
        <v>375</v>
      </c>
      <c r="P14" s="47" t="s">
        <v>376</v>
      </c>
      <c r="Q14" s="47" t="s">
        <v>377</v>
      </c>
      <c r="R14" s="47" t="s">
        <v>378</v>
      </c>
    </row>
    <row r="15" spans="1:18" ht="15.75" customHeight="1">
      <c r="A15" s="41"/>
      <c r="B15" s="43"/>
      <c r="D15" s="43"/>
      <c r="E15" s="43"/>
      <c r="F15" s="43"/>
      <c r="G15" s="43"/>
      <c r="H15" s="43"/>
      <c r="I15" s="49" t="s">
        <v>379</v>
      </c>
      <c r="J15" s="44" t="s">
        <v>314</v>
      </c>
      <c r="K15" s="50">
        <v>400000</v>
      </c>
      <c r="L15" s="50">
        <v>500000</v>
      </c>
      <c r="M15" s="52">
        <v>600000</v>
      </c>
      <c r="N15" s="50">
        <v>650000</v>
      </c>
      <c r="O15" s="50">
        <v>10000</v>
      </c>
      <c r="P15" s="50">
        <v>15000</v>
      </c>
      <c r="Q15" s="50">
        <v>15000</v>
      </c>
      <c r="R15" s="50">
        <v>14000</v>
      </c>
    </row>
    <row r="16" spans="1:18" ht="15.75" customHeight="1">
      <c r="A16" s="41"/>
      <c r="B16" s="43"/>
      <c r="D16" s="43"/>
      <c r="E16" s="43"/>
      <c r="F16" s="43"/>
      <c r="G16" s="43"/>
      <c r="H16" s="43"/>
      <c r="I16" s="49" t="s">
        <v>380</v>
      </c>
      <c r="J16" s="44" t="s">
        <v>314</v>
      </c>
      <c r="K16" s="50">
        <v>500000</v>
      </c>
      <c r="L16" s="50">
        <v>650000</v>
      </c>
      <c r="M16" s="52">
        <v>700000</v>
      </c>
      <c r="N16" s="50">
        <v>800000</v>
      </c>
      <c r="O16" s="50">
        <v>10000</v>
      </c>
      <c r="P16" s="50">
        <v>17000</v>
      </c>
      <c r="Q16" s="50">
        <v>16000</v>
      </c>
      <c r="R16" s="50">
        <v>15000</v>
      </c>
    </row>
    <row r="17" spans="1:18" ht="15.75" customHeight="1">
      <c r="A17" s="41"/>
      <c r="B17" s="43"/>
      <c r="D17" s="43"/>
      <c r="E17" s="43"/>
      <c r="F17" s="43"/>
      <c r="G17" s="43"/>
      <c r="H17" s="43"/>
      <c r="I17" s="49" t="s">
        <v>381</v>
      </c>
      <c r="J17" s="44" t="s">
        <v>314</v>
      </c>
      <c r="K17" s="50">
        <v>550000</v>
      </c>
      <c r="L17" s="50">
        <v>700000</v>
      </c>
      <c r="M17" s="52">
        <v>750000</v>
      </c>
      <c r="N17" s="50">
        <v>850000</v>
      </c>
      <c r="O17" s="50">
        <v>10000</v>
      </c>
      <c r="P17" s="50">
        <v>18000</v>
      </c>
      <c r="Q17" s="50">
        <v>17000</v>
      </c>
      <c r="R17" s="50">
        <v>16000</v>
      </c>
    </row>
    <row r="18" spans="1:18" ht="15.75" customHeight="1">
      <c r="A18" s="41"/>
      <c r="B18" s="43"/>
      <c r="D18" s="43"/>
      <c r="E18" s="43"/>
      <c r="F18" s="43"/>
      <c r="G18" s="43"/>
      <c r="H18" s="43"/>
      <c r="I18" s="49" t="s">
        <v>382</v>
      </c>
      <c r="J18" s="44" t="s">
        <v>314</v>
      </c>
      <c r="K18" s="50">
        <v>950000</v>
      </c>
      <c r="L18" s="50">
        <v>950000</v>
      </c>
      <c r="M18" s="52">
        <v>900000</v>
      </c>
      <c r="N18" s="50">
        <v>1150000</v>
      </c>
      <c r="O18" s="50">
        <v>13000</v>
      </c>
      <c r="P18" s="50">
        <v>13000</v>
      </c>
      <c r="Q18" s="50">
        <v>20000</v>
      </c>
      <c r="R18" s="50">
        <v>19000</v>
      </c>
    </row>
    <row r="19" spans="1:18" ht="15.75" customHeight="1">
      <c r="A19" s="41"/>
      <c r="B19" s="43"/>
      <c r="D19" s="43"/>
      <c r="E19" s="43"/>
      <c r="F19" s="43"/>
      <c r="G19" s="43"/>
      <c r="H19" s="43"/>
      <c r="I19" s="49" t="s">
        <v>383</v>
      </c>
      <c r="J19" s="44" t="s">
        <v>314</v>
      </c>
      <c r="K19" s="50">
        <v>1150000</v>
      </c>
      <c r="L19" s="50">
        <v>1150000</v>
      </c>
      <c r="M19" s="52">
        <v>1250000</v>
      </c>
      <c r="N19" s="50">
        <v>1350000</v>
      </c>
      <c r="O19" s="50">
        <v>13000</v>
      </c>
      <c r="P19" s="50">
        <v>13000</v>
      </c>
      <c r="Q19" s="50">
        <v>22000</v>
      </c>
      <c r="R19" s="50">
        <v>21000</v>
      </c>
    </row>
    <row r="20" spans="1:18" ht="15.75" customHeight="1">
      <c r="A20" s="41"/>
      <c r="B20" s="43"/>
      <c r="D20" s="43"/>
      <c r="E20" s="43"/>
      <c r="F20" s="43"/>
      <c r="G20" s="43"/>
      <c r="H20" s="43"/>
      <c r="I20" s="49" t="s">
        <v>384</v>
      </c>
      <c r="J20" s="44" t="s">
        <v>314</v>
      </c>
      <c r="K20" s="50">
        <v>1350000</v>
      </c>
      <c r="L20" s="50">
        <v>1350000</v>
      </c>
      <c r="M20" s="52">
        <v>1450000</v>
      </c>
      <c r="N20" s="50">
        <v>1550000</v>
      </c>
      <c r="O20" s="50">
        <v>13000</v>
      </c>
      <c r="P20" s="50">
        <v>13000</v>
      </c>
      <c r="Q20" s="50">
        <v>24000</v>
      </c>
      <c r="R20" s="50">
        <v>23000</v>
      </c>
    </row>
    <row r="21" spans="1:18" ht="15.75" customHeight="1">
      <c r="A21" s="41"/>
      <c r="B21" s="43"/>
      <c r="D21" s="43"/>
      <c r="E21" s="43"/>
      <c r="F21" s="43"/>
      <c r="G21" s="43"/>
      <c r="H21" s="43"/>
      <c r="I21" s="49" t="s">
        <v>385</v>
      </c>
      <c r="J21" s="44" t="s">
        <v>314</v>
      </c>
      <c r="K21" s="50">
        <v>1450000</v>
      </c>
      <c r="L21" s="50">
        <v>1450000</v>
      </c>
      <c r="M21" s="52">
        <v>1550000</v>
      </c>
      <c r="N21" s="50">
        <v>1650000</v>
      </c>
      <c r="O21" s="50">
        <v>13000</v>
      </c>
      <c r="P21" s="50">
        <v>13000</v>
      </c>
      <c r="Q21" s="50">
        <v>26000</v>
      </c>
      <c r="R21" s="50">
        <v>25000</v>
      </c>
    </row>
    <row r="22" spans="1:18" ht="15.75" customHeight="1">
      <c r="A22" s="41"/>
      <c r="B22" s="43"/>
      <c r="D22" s="43"/>
      <c r="E22" s="43"/>
      <c r="F22" s="43"/>
      <c r="G22" s="43"/>
      <c r="H22" s="43"/>
      <c r="I22" s="49" t="s">
        <v>386</v>
      </c>
      <c r="J22" s="44" t="s">
        <v>314</v>
      </c>
      <c r="K22" s="50">
        <v>1650000</v>
      </c>
      <c r="L22" s="50">
        <v>1650000</v>
      </c>
      <c r="M22" s="50">
        <v>1750000</v>
      </c>
      <c r="N22" s="50">
        <v>1850000</v>
      </c>
      <c r="O22" s="50">
        <v>13000</v>
      </c>
      <c r="P22" s="50">
        <v>13000</v>
      </c>
      <c r="Q22" s="50">
        <v>28000</v>
      </c>
      <c r="R22" s="50">
        <v>27000</v>
      </c>
    </row>
    <row r="23" spans="1:18" ht="15.75" customHeight="1">
      <c r="B23" s="44" t="s">
        <v>387</v>
      </c>
      <c r="K23" s="51"/>
    </row>
    <row r="25" spans="1:18" ht="15.75" customHeight="1">
      <c r="A25" s="41"/>
      <c r="B25" s="43" t="s">
        <v>226</v>
      </c>
      <c r="C25" s="43"/>
      <c r="D25" s="44" t="s">
        <v>65</v>
      </c>
      <c r="E25" s="43" t="s">
        <v>238</v>
      </c>
      <c r="F25" s="43" t="s">
        <v>239</v>
      </c>
      <c r="G25" s="43"/>
      <c r="H25" s="43"/>
      <c r="I25" s="43"/>
      <c r="J25" s="43"/>
      <c r="K25" s="46"/>
      <c r="L25" s="43" t="s">
        <v>388</v>
      </c>
      <c r="M25" s="43"/>
      <c r="N25" s="43"/>
    </row>
    <row r="26" spans="1:18" ht="15.75" customHeight="1">
      <c r="A26" s="41"/>
      <c r="B26" s="43" t="s">
        <v>226</v>
      </c>
      <c r="C26" s="43"/>
      <c r="D26" s="44" t="s">
        <v>65</v>
      </c>
      <c r="E26" s="43" t="s">
        <v>238</v>
      </c>
      <c r="F26" s="43" t="s">
        <v>240</v>
      </c>
      <c r="G26" s="43"/>
      <c r="H26" s="43"/>
      <c r="I26" s="43"/>
      <c r="J26" s="43" t="s">
        <v>389</v>
      </c>
      <c r="K26" s="46"/>
      <c r="L26" s="43" t="s">
        <v>390</v>
      </c>
      <c r="M26" s="43"/>
      <c r="N26" s="43"/>
    </row>
    <row r="27" spans="1:18" ht="15.75" customHeight="1">
      <c r="A27" s="41"/>
      <c r="B27" s="43" t="s">
        <v>226</v>
      </c>
      <c r="C27" s="43"/>
      <c r="D27" s="44" t="s">
        <v>65</v>
      </c>
      <c r="E27" s="43" t="s">
        <v>238</v>
      </c>
      <c r="F27" s="43" t="s">
        <v>241</v>
      </c>
      <c r="G27" s="43"/>
      <c r="H27" s="43"/>
      <c r="I27" s="43"/>
      <c r="J27" s="43"/>
      <c r="K27" s="46"/>
      <c r="L27" s="43" t="s">
        <v>390</v>
      </c>
      <c r="M27" s="43"/>
      <c r="N27" s="43"/>
    </row>
    <row r="28" spans="1:18" ht="15.75" customHeight="1">
      <c r="A28" s="41"/>
      <c r="B28" s="43" t="s">
        <v>226</v>
      </c>
      <c r="C28" s="43"/>
      <c r="D28" s="44" t="s">
        <v>65</v>
      </c>
      <c r="E28" s="43" t="s">
        <v>238</v>
      </c>
      <c r="F28" s="43" t="s">
        <v>242</v>
      </c>
      <c r="G28" s="43"/>
      <c r="H28" s="43"/>
      <c r="I28" s="43"/>
      <c r="J28" s="43" t="s">
        <v>391</v>
      </c>
      <c r="K28" s="46">
        <v>12000000</v>
      </c>
      <c r="L28" s="43"/>
      <c r="M28" s="43"/>
      <c r="N28" s="43"/>
    </row>
    <row r="29" spans="1:18" ht="15.75" customHeight="1">
      <c r="A29" s="41"/>
      <c r="B29" s="43" t="s">
        <v>226</v>
      </c>
      <c r="C29" s="43"/>
      <c r="D29" s="44" t="s">
        <v>65</v>
      </c>
      <c r="E29" s="43" t="s">
        <v>238</v>
      </c>
      <c r="F29" s="43" t="s">
        <v>243</v>
      </c>
      <c r="G29" s="43"/>
      <c r="H29" s="43"/>
      <c r="I29" s="43"/>
      <c r="J29" s="43"/>
      <c r="K29" s="46"/>
      <c r="L29" s="43" t="s">
        <v>392</v>
      </c>
      <c r="M29" s="43"/>
      <c r="N29" s="43"/>
    </row>
    <row r="30" spans="1:18" ht="15.75" customHeight="1">
      <c r="A30" s="41"/>
      <c r="B30" s="43" t="s">
        <v>226</v>
      </c>
      <c r="C30" s="43"/>
      <c r="D30" s="44" t="s">
        <v>65</v>
      </c>
      <c r="E30" s="43" t="s">
        <v>245</v>
      </c>
      <c r="F30" s="43" t="s">
        <v>246</v>
      </c>
      <c r="G30" s="43"/>
      <c r="H30" s="43" t="s">
        <v>393</v>
      </c>
      <c r="I30" s="43" t="s">
        <v>394</v>
      </c>
      <c r="J30" s="43" t="s">
        <v>395</v>
      </c>
      <c r="K30" s="46">
        <v>420000</v>
      </c>
      <c r="L30" s="44" t="s">
        <v>396</v>
      </c>
      <c r="M30" s="43"/>
      <c r="N30" s="43"/>
    </row>
    <row r="31" spans="1:18" ht="15.75" customHeight="1">
      <c r="A31" s="41"/>
      <c r="B31" s="43"/>
      <c r="C31" s="43"/>
      <c r="D31" s="43"/>
      <c r="E31" s="43"/>
      <c r="F31" s="43"/>
      <c r="G31" s="43"/>
      <c r="H31" s="43"/>
      <c r="I31" s="43" t="s">
        <v>394</v>
      </c>
      <c r="J31" s="43" t="s">
        <v>397</v>
      </c>
      <c r="K31" s="46">
        <v>1400</v>
      </c>
      <c r="L31" s="43"/>
      <c r="M31" s="43"/>
      <c r="N31" s="43"/>
    </row>
    <row r="32" spans="1:18" ht="15.75" customHeight="1">
      <c r="A32" s="41"/>
      <c r="B32" s="43"/>
      <c r="C32" s="43"/>
      <c r="D32" s="43"/>
      <c r="E32" s="43"/>
      <c r="F32" s="43"/>
      <c r="G32" s="43"/>
      <c r="H32" s="43" t="s">
        <v>398</v>
      </c>
      <c r="I32" s="43" t="s">
        <v>394</v>
      </c>
      <c r="J32" s="43" t="s">
        <v>395</v>
      </c>
      <c r="K32" s="46">
        <v>400000</v>
      </c>
      <c r="L32" s="43"/>
      <c r="M32" s="43"/>
      <c r="N32" s="43"/>
    </row>
    <row r="33" spans="1:14" ht="15.75" customHeight="1">
      <c r="A33" s="41"/>
      <c r="B33" s="43"/>
      <c r="C33" s="43"/>
      <c r="D33" s="43"/>
      <c r="E33" s="43"/>
      <c r="F33" s="43"/>
      <c r="G33" s="43"/>
      <c r="H33" s="43"/>
      <c r="I33" s="43" t="s">
        <v>394</v>
      </c>
      <c r="J33" s="43" t="s">
        <v>397</v>
      </c>
      <c r="K33" s="46">
        <v>1300</v>
      </c>
      <c r="L33" s="43"/>
      <c r="M33" s="43"/>
      <c r="N33" s="43"/>
    </row>
    <row r="34" spans="1:14" ht="15.75" customHeight="1">
      <c r="A34" s="41"/>
      <c r="B34" s="43"/>
      <c r="C34" s="43"/>
      <c r="D34" s="43"/>
      <c r="E34" s="43"/>
      <c r="F34" s="43"/>
      <c r="G34" s="43"/>
      <c r="H34" s="43" t="s">
        <v>393</v>
      </c>
      <c r="I34" s="43" t="s">
        <v>399</v>
      </c>
      <c r="J34" s="43" t="s">
        <v>395</v>
      </c>
      <c r="K34" s="46">
        <v>420000</v>
      </c>
      <c r="M34" s="43"/>
      <c r="N34" s="43"/>
    </row>
    <row r="35" spans="1:14" ht="15.75" customHeight="1">
      <c r="A35" s="41"/>
      <c r="B35" s="43"/>
      <c r="C35" s="43"/>
      <c r="D35" s="43"/>
      <c r="E35" s="43"/>
      <c r="F35" s="43"/>
      <c r="G35" s="43"/>
      <c r="H35" s="43"/>
      <c r="I35" s="43" t="s">
        <v>399</v>
      </c>
      <c r="J35" s="43" t="s">
        <v>397</v>
      </c>
      <c r="K35" s="46">
        <v>1400</v>
      </c>
      <c r="L35" s="43"/>
      <c r="M35" s="43"/>
      <c r="N35" s="43"/>
    </row>
    <row r="36" spans="1:14" ht="15.75" customHeight="1">
      <c r="A36" s="41"/>
      <c r="B36" s="43"/>
      <c r="C36" s="43"/>
      <c r="D36" s="43"/>
      <c r="E36" s="43"/>
      <c r="F36" s="43"/>
      <c r="G36" s="43"/>
      <c r="H36" s="43" t="s">
        <v>398</v>
      </c>
      <c r="I36" s="43" t="s">
        <v>399</v>
      </c>
      <c r="J36" s="43" t="s">
        <v>395</v>
      </c>
      <c r="K36" s="46">
        <v>380000</v>
      </c>
      <c r="L36" s="43"/>
      <c r="M36" s="43"/>
      <c r="N36" s="43"/>
    </row>
    <row r="37" spans="1:14" ht="15.75" customHeight="1">
      <c r="A37" s="41"/>
      <c r="B37" s="43"/>
      <c r="C37" s="43"/>
      <c r="D37" s="43"/>
      <c r="E37" s="43"/>
      <c r="F37" s="43"/>
      <c r="G37" s="43"/>
      <c r="H37" s="43"/>
      <c r="I37" s="43" t="s">
        <v>399</v>
      </c>
      <c r="J37" s="43" t="s">
        <v>397</v>
      </c>
      <c r="K37" s="46">
        <v>1300</v>
      </c>
      <c r="L37" s="43"/>
      <c r="M37" s="43"/>
      <c r="N37" s="43"/>
    </row>
    <row r="38" spans="1:14" ht="15.75" customHeight="1">
      <c r="A38" s="41"/>
      <c r="B38" s="43" t="s">
        <v>226</v>
      </c>
      <c r="C38" s="43"/>
      <c r="D38" s="43" t="s">
        <v>400</v>
      </c>
      <c r="E38" s="43" t="s">
        <v>401</v>
      </c>
      <c r="F38" s="43" t="s">
        <v>402</v>
      </c>
      <c r="G38" s="43"/>
      <c r="H38" s="43" t="s">
        <v>393</v>
      </c>
      <c r="I38" s="43"/>
      <c r="J38" s="43" t="s">
        <v>403</v>
      </c>
      <c r="K38" s="46">
        <v>250000</v>
      </c>
      <c r="L38" s="43"/>
      <c r="M38" s="43"/>
      <c r="N38" s="43"/>
    </row>
    <row r="39" spans="1:14" ht="15.75" customHeight="1">
      <c r="A39" s="41"/>
      <c r="B39" s="43"/>
      <c r="C39" s="43"/>
      <c r="D39" s="43"/>
      <c r="E39" s="43"/>
      <c r="F39" s="43"/>
      <c r="G39" s="43"/>
      <c r="H39" s="43" t="s">
        <v>398</v>
      </c>
      <c r="I39" s="43"/>
      <c r="J39" s="43" t="s">
        <v>403</v>
      </c>
      <c r="K39" s="46">
        <v>200000</v>
      </c>
      <c r="L39" s="43"/>
      <c r="M39" s="43"/>
      <c r="N39" s="43"/>
    </row>
    <row r="40" spans="1:14" ht="15.75" customHeight="1">
      <c r="F40" s="44" t="s">
        <v>404</v>
      </c>
      <c r="K40" s="51"/>
    </row>
    <row r="41" spans="1:14" ht="15.75" customHeight="1">
      <c r="K41" s="51"/>
    </row>
    <row r="42" spans="1:14" ht="15.75" customHeight="1">
      <c r="K42" s="51"/>
    </row>
    <row r="43" spans="1:14" ht="15.75" customHeight="1">
      <c r="K43" s="51"/>
    </row>
    <row r="44" spans="1:14" ht="15.75" customHeight="1">
      <c r="K44" s="51"/>
    </row>
    <row r="45" spans="1:14" ht="15.75" customHeight="1">
      <c r="K45" s="51"/>
    </row>
    <row r="46" spans="1:14" ht="15.75" customHeight="1">
      <c r="K46" s="51"/>
    </row>
    <row r="47" spans="1:14" ht="15.75" customHeight="1">
      <c r="K47" s="51"/>
    </row>
    <row r="48" spans="1:14" ht="15.75" customHeight="1">
      <c r="K48" s="51"/>
    </row>
    <row r="49" spans="11:11" ht="15.75" customHeight="1">
      <c r="K49" s="51"/>
    </row>
    <row r="50" spans="11:11" ht="15.75" customHeight="1">
      <c r="K50" s="51"/>
    </row>
    <row r="51" spans="11:11" ht="15.75" customHeight="1">
      <c r="K51" s="51"/>
    </row>
    <row r="52" spans="11:11" ht="15.75" customHeight="1">
      <c r="K52" s="51"/>
    </row>
    <row r="53" spans="11:11" ht="15.75" customHeight="1">
      <c r="K53" s="51"/>
    </row>
    <row r="54" spans="11:11" ht="15.75" customHeight="1">
      <c r="K54" s="51"/>
    </row>
    <row r="55" spans="11:11" ht="15.75" customHeight="1">
      <c r="K55" s="51"/>
    </row>
    <row r="56" spans="11:11" ht="15.75" customHeight="1">
      <c r="K56" s="51"/>
    </row>
    <row r="57" spans="11:11" ht="15.75" customHeight="1">
      <c r="K57" s="51"/>
    </row>
    <row r="58" spans="11:11" ht="15.75" customHeight="1">
      <c r="K58" s="51"/>
    </row>
    <row r="59" spans="11:11" ht="15.75" customHeight="1">
      <c r="K59" s="51"/>
    </row>
    <row r="60" spans="11:11" ht="15.75" customHeight="1">
      <c r="K60" s="51"/>
    </row>
    <row r="61" spans="11:11" ht="15.75" customHeight="1">
      <c r="K61" s="51"/>
    </row>
    <row r="62" spans="11:11" ht="15.75" customHeight="1">
      <c r="K62" s="51"/>
    </row>
    <row r="63" spans="11:11" ht="15.75" customHeight="1">
      <c r="K63" s="51"/>
    </row>
    <row r="64" spans="11:11" ht="15.75" customHeight="1">
      <c r="K64" s="51"/>
    </row>
    <row r="65" spans="11:11" ht="15.75" customHeight="1">
      <c r="K65" s="51"/>
    </row>
    <row r="66" spans="11:11" ht="15.75" customHeight="1">
      <c r="K66" s="51"/>
    </row>
    <row r="67" spans="11:11" ht="15.75" customHeight="1">
      <c r="K67" s="51"/>
    </row>
    <row r="68" spans="11:11" ht="15.75" customHeight="1">
      <c r="K68" s="51"/>
    </row>
    <row r="69" spans="11:11" ht="15.75" customHeight="1">
      <c r="K69" s="51"/>
    </row>
    <row r="70" spans="11:11" ht="15.75" customHeight="1">
      <c r="K70" s="51"/>
    </row>
    <row r="71" spans="11:11" ht="15.75" customHeight="1">
      <c r="K71" s="51"/>
    </row>
    <row r="72" spans="11:11" ht="15.75" customHeight="1">
      <c r="K72" s="51"/>
    </row>
    <row r="73" spans="11:11" ht="15.75" customHeight="1">
      <c r="K73" s="51"/>
    </row>
    <row r="74" spans="11:11" ht="15.75" customHeight="1">
      <c r="K74" s="51"/>
    </row>
    <row r="75" spans="11:11" ht="15.75" customHeight="1">
      <c r="K75" s="51"/>
    </row>
    <row r="76" spans="11:11" ht="15.75" customHeight="1">
      <c r="K76" s="51"/>
    </row>
    <row r="77" spans="11:11" ht="15.75" customHeight="1">
      <c r="K77" s="51"/>
    </row>
    <row r="78" spans="11:11" ht="15.75" customHeight="1">
      <c r="K78" s="51"/>
    </row>
    <row r="79" spans="11:11" ht="15.75" customHeight="1">
      <c r="K79" s="51"/>
    </row>
    <row r="80" spans="11:11" ht="15.75" customHeight="1">
      <c r="K80" s="51"/>
    </row>
    <row r="81" spans="11:11" ht="15.75" customHeight="1">
      <c r="K81" s="51"/>
    </row>
    <row r="82" spans="11:11" ht="15.75" customHeight="1">
      <c r="K82" s="51"/>
    </row>
    <row r="83" spans="11:11" ht="15.75" customHeight="1">
      <c r="K83" s="51"/>
    </row>
    <row r="84" spans="11:11" ht="15.75" customHeight="1">
      <c r="K84" s="51"/>
    </row>
    <row r="85" spans="11:11" ht="15.75" customHeight="1">
      <c r="K85" s="51"/>
    </row>
    <row r="86" spans="11:11" ht="15.75" customHeight="1">
      <c r="K86" s="51"/>
    </row>
    <row r="87" spans="11:11" ht="15.75" customHeight="1">
      <c r="K87" s="51"/>
    </row>
    <row r="88" spans="11:11" ht="15.75" customHeight="1">
      <c r="K88" s="51"/>
    </row>
    <row r="89" spans="11:11" ht="15.75" customHeight="1">
      <c r="K89" s="51"/>
    </row>
    <row r="90" spans="11:11" ht="15.75" customHeight="1">
      <c r="K90" s="51"/>
    </row>
    <row r="91" spans="11:11" ht="15.75" customHeight="1">
      <c r="K91" s="51"/>
    </row>
    <row r="92" spans="11:11" ht="15.75" customHeight="1">
      <c r="K92" s="51"/>
    </row>
    <row r="93" spans="11:11" ht="15.75" customHeight="1">
      <c r="K93" s="51"/>
    </row>
    <row r="94" spans="11:11" ht="15.75" customHeight="1">
      <c r="K94" s="51"/>
    </row>
    <row r="95" spans="11:11" ht="15.75" customHeight="1">
      <c r="K95" s="51"/>
    </row>
    <row r="96" spans="11:11" ht="15.75" customHeight="1">
      <c r="K96" s="51"/>
    </row>
    <row r="97" spans="11:11" ht="15.75" customHeight="1">
      <c r="K97" s="51"/>
    </row>
    <row r="98" spans="11:11" ht="15.75" customHeight="1">
      <c r="K98" s="51"/>
    </row>
    <row r="99" spans="11:11" ht="15.75" customHeight="1">
      <c r="K99" s="51"/>
    </row>
    <row r="100" spans="11:11" ht="15.75" customHeight="1">
      <c r="K100" s="51"/>
    </row>
    <row r="101" spans="11:11" ht="15.75" customHeight="1">
      <c r="K101" s="51"/>
    </row>
    <row r="102" spans="11:11" ht="15.75" customHeight="1">
      <c r="K102" s="51"/>
    </row>
    <row r="103" spans="11:11" ht="15.75" customHeight="1">
      <c r="K103" s="51"/>
    </row>
    <row r="104" spans="11:11" ht="15.75" customHeight="1">
      <c r="K104" s="51"/>
    </row>
    <row r="105" spans="11:11" ht="15.75" customHeight="1">
      <c r="K105" s="51"/>
    </row>
    <row r="106" spans="11:11" ht="15.75" customHeight="1">
      <c r="K106" s="51"/>
    </row>
    <row r="107" spans="11:11" ht="15.75" customHeight="1">
      <c r="K107" s="51"/>
    </row>
    <row r="108" spans="11:11" ht="15.75" customHeight="1">
      <c r="K108" s="51"/>
    </row>
    <row r="109" spans="11:11" ht="15.75" customHeight="1">
      <c r="K109" s="51"/>
    </row>
    <row r="110" spans="11:11" ht="15.75" customHeight="1">
      <c r="K110" s="51"/>
    </row>
    <row r="111" spans="11:11" ht="15.75" customHeight="1">
      <c r="K111" s="51"/>
    </row>
    <row r="112" spans="11:11" ht="15.75" customHeight="1">
      <c r="K112" s="51"/>
    </row>
    <row r="113" spans="11:11" ht="15.75" customHeight="1">
      <c r="K113" s="51"/>
    </row>
    <row r="114" spans="11:11" ht="15.75" customHeight="1">
      <c r="K114" s="51"/>
    </row>
    <row r="115" spans="11:11" ht="15.75" customHeight="1">
      <c r="K115" s="51"/>
    </row>
    <row r="116" spans="11:11" ht="15.75" customHeight="1">
      <c r="K116" s="51"/>
    </row>
    <row r="117" spans="11:11" ht="15.75" customHeight="1">
      <c r="K117" s="51"/>
    </row>
    <row r="118" spans="11:11" ht="15.75" customHeight="1">
      <c r="K118" s="51"/>
    </row>
    <row r="119" spans="11:11" ht="15.75" customHeight="1">
      <c r="K119" s="51"/>
    </row>
    <row r="120" spans="11:11" ht="15.75" customHeight="1">
      <c r="K120" s="51"/>
    </row>
    <row r="121" spans="11:11" ht="15.75" customHeight="1">
      <c r="K121" s="51"/>
    </row>
    <row r="122" spans="11:11" ht="15.75" customHeight="1">
      <c r="K122" s="51"/>
    </row>
    <row r="123" spans="11:11" ht="15.75" customHeight="1">
      <c r="K123" s="51"/>
    </row>
    <row r="124" spans="11:11" ht="15.75" customHeight="1">
      <c r="K124" s="51"/>
    </row>
    <row r="125" spans="11:11" ht="15.75" customHeight="1">
      <c r="K125" s="51"/>
    </row>
    <row r="126" spans="11:11" ht="15.75" customHeight="1">
      <c r="K126" s="51"/>
    </row>
    <row r="127" spans="11:11" ht="15.75" customHeight="1">
      <c r="K127" s="51"/>
    </row>
    <row r="128" spans="11:11" ht="15.75" customHeight="1">
      <c r="K128" s="51"/>
    </row>
    <row r="129" spans="11:11" ht="15.75" customHeight="1">
      <c r="K129" s="51"/>
    </row>
    <row r="130" spans="11:11" ht="15.75" customHeight="1">
      <c r="K130" s="51"/>
    </row>
    <row r="131" spans="11:11" ht="15.75" customHeight="1">
      <c r="K131" s="51"/>
    </row>
    <row r="132" spans="11:11" ht="15.75" customHeight="1">
      <c r="K132" s="51"/>
    </row>
    <row r="133" spans="11:11" ht="15.75" customHeight="1">
      <c r="K133" s="51"/>
    </row>
    <row r="134" spans="11:11" ht="15.75" customHeight="1">
      <c r="K134" s="51"/>
    </row>
    <row r="135" spans="11:11" ht="15.75" customHeight="1">
      <c r="K135" s="51"/>
    </row>
    <row r="136" spans="11:11" ht="15.75" customHeight="1">
      <c r="K136" s="51"/>
    </row>
    <row r="137" spans="11:11" ht="15.75" customHeight="1">
      <c r="K137" s="51"/>
    </row>
    <row r="138" spans="11:11" ht="15.75" customHeight="1">
      <c r="K138" s="51"/>
    </row>
    <row r="139" spans="11:11" ht="15.75" customHeight="1">
      <c r="K139" s="51"/>
    </row>
    <row r="140" spans="11:11" ht="15.75" customHeight="1">
      <c r="K140" s="51"/>
    </row>
    <row r="141" spans="11:11" ht="15.75" customHeight="1">
      <c r="K141" s="51"/>
    </row>
    <row r="142" spans="11:11" ht="15.75" customHeight="1">
      <c r="K142" s="51"/>
    </row>
    <row r="143" spans="11:11" ht="15.75" customHeight="1">
      <c r="K143" s="51"/>
    </row>
    <row r="144" spans="11:11" ht="15.75" customHeight="1">
      <c r="K144" s="51"/>
    </row>
    <row r="145" spans="11:11" ht="15.75" customHeight="1">
      <c r="K145" s="51"/>
    </row>
    <row r="146" spans="11:11" ht="15.75" customHeight="1">
      <c r="K146" s="51"/>
    </row>
    <row r="147" spans="11:11" ht="15.75" customHeight="1">
      <c r="K147" s="51"/>
    </row>
    <row r="148" spans="11:11" ht="15.75" customHeight="1">
      <c r="K148" s="51"/>
    </row>
    <row r="149" spans="11:11" ht="15.75" customHeight="1">
      <c r="K149" s="51"/>
    </row>
    <row r="150" spans="11:11" ht="15.75" customHeight="1">
      <c r="K150" s="51"/>
    </row>
    <row r="151" spans="11:11" ht="15.75" customHeight="1">
      <c r="K151" s="51"/>
    </row>
    <row r="152" spans="11:11" ht="15.75" customHeight="1">
      <c r="K152" s="51"/>
    </row>
    <row r="153" spans="11:11" ht="15.75" customHeight="1">
      <c r="K153" s="51"/>
    </row>
    <row r="154" spans="11:11" ht="15.75" customHeight="1">
      <c r="K154" s="51"/>
    </row>
    <row r="155" spans="11:11" ht="15.75" customHeight="1">
      <c r="K155" s="51"/>
    </row>
    <row r="156" spans="11:11" ht="15.75" customHeight="1">
      <c r="K156" s="51"/>
    </row>
    <row r="157" spans="11:11" ht="15.75" customHeight="1">
      <c r="K157" s="51"/>
    </row>
    <row r="158" spans="11:11" ht="15.75" customHeight="1">
      <c r="K158" s="51"/>
    </row>
    <row r="159" spans="11:11" ht="15.75" customHeight="1">
      <c r="K159" s="51"/>
    </row>
    <row r="160" spans="11:11" ht="15.75" customHeight="1">
      <c r="K160" s="51"/>
    </row>
    <row r="161" spans="11:11" ht="15.75" customHeight="1">
      <c r="K161" s="51"/>
    </row>
    <row r="162" spans="11:11" ht="15.75" customHeight="1">
      <c r="K162" s="51"/>
    </row>
    <row r="163" spans="11:11" ht="15.75" customHeight="1">
      <c r="K163" s="51"/>
    </row>
    <row r="164" spans="11:11" ht="15.75" customHeight="1">
      <c r="K164" s="51"/>
    </row>
    <row r="165" spans="11:11" ht="15.75" customHeight="1">
      <c r="K165" s="51"/>
    </row>
    <row r="166" spans="11:11" ht="15.75" customHeight="1">
      <c r="K166" s="51"/>
    </row>
    <row r="167" spans="11:11" ht="15.75" customHeight="1">
      <c r="K167" s="51"/>
    </row>
    <row r="168" spans="11:11" ht="15.75" customHeight="1">
      <c r="K168" s="51"/>
    </row>
    <row r="169" spans="11:11" ht="15.75" customHeight="1">
      <c r="K169" s="51"/>
    </row>
    <row r="170" spans="11:11" ht="15.75" customHeight="1">
      <c r="K170" s="51"/>
    </row>
    <row r="171" spans="11:11" ht="15.75" customHeight="1">
      <c r="K171" s="51"/>
    </row>
    <row r="172" spans="11:11" ht="15.75" customHeight="1">
      <c r="K172" s="51"/>
    </row>
    <row r="173" spans="11:11" ht="15.75" customHeight="1">
      <c r="K173" s="51"/>
    </row>
    <row r="174" spans="11:11" ht="15.75" customHeight="1">
      <c r="K174" s="51"/>
    </row>
    <row r="175" spans="11:11" ht="15.75" customHeight="1">
      <c r="K175" s="51"/>
    </row>
    <row r="176" spans="11:11" ht="15.75" customHeight="1">
      <c r="K176" s="51"/>
    </row>
    <row r="177" spans="11:11" ht="15.75" customHeight="1">
      <c r="K177" s="51"/>
    </row>
    <row r="178" spans="11:11" ht="15.75" customHeight="1">
      <c r="K178" s="51"/>
    </row>
    <row r="179" spans="11:11" ht="15.75" customHeight="1">
      <c r="K179" s="51"/>
    </row>
    <row r="180" spans="11:11" ht="15.75" customHeight="1">
      <c r="K180" s="51"/>
    </row>
    <row r="181" spans="11:11" ht="15.75" customHeight="1">
      <c r="K181" s="51"/>
    </row>
    <row r="182" spans="11:11" ht="15.75" customHeight="1">
      <c r="K182" s="51"/>
    </row>
    <row r="183" spans="11:11" ht="15.75" customHeight="1">
      <c r="K183" s="51"/>
    </row>
    <row r="184" spans="11:11" ht="15.75" customHeight="1">
      <c r="K184" s="51"/>
    </row>
    <row r="185" spans="11:11" ht="15.75" customHeight="1">
      <c r="K185" s="51"/>
    </row>
    <row r="186" spans="11:11" ht="15.75" customHeight="1">
      <c r="K186" s="51"/>
    </row>
    <row r="187" spans="11:11" ht="15.75" customHeight="1">
      <c r="K187" s="51"/>
    </row>
    <row r="188" spans="11:11" ht="15.75" customHeight="1">
      <c r="K188" s="51"/>
    </row>
    <row r="189" spans="11:11" ht="15.75" customHeight="1">
      <c r="K189" s="51"/>
    </row>
    <row r="190" spans="11:11" ht="15.75" customHeight="1">
      <c r="K190" s="51"/>
    </row>
    <row r="191" spans="11:11" ht="15.75" customHeight="1">
      <c r="K191" s="51"/>
    </row>
    <row r="192" spans="11:11" ht="15.75" customHeight="1">
      <c r="K192" s="51"/>
    </row>
    <row r="193" spans="11:11" ht="15.75" customHeight="1">
      <c r="K193" s="51"/>
    </row>
    <row r="194" spans="11:11" ht="15.75" customHeight="1">
      <c r="K194" s="51"/>
    </row>
    <row r="195" spans="11:11" ht="15.75" customHeight="1">
      <c r="K195" s="51"/>
    </row>
    <row r="196" spans="11:11" ht="15.75" customHeight="1">
      <c r="K196" s="51"/>
    </row>
    <row r="197" spans="11:11" ht="15.75" customHeight="1">
      <c r="K197" s="51"/>
    </row>
    <row r="198" spans="11:11" ht="15.75" customHeight="1">
      <c r="K198" s="51"/>
    </row>
    <row r="199" spans="11:11" ht="15.75" customHeight="1">
      <c r="K199" s="51"/>
    </row>
    <row r="200" spans="11:11" ht="15.75" customHeight="1">
      <c r="K200" s="51"/>
    </row>
    <row r="201" spans="11:11" ht="15.75" customHeight="1">
      <c r="K201" s="51"/>
    </row>
    <row r="202" spans="11:11" ht="15.75" customHeight="1">
      <c r="K202" s="51"/>
    </row>
    <row r="203" spans="11:11" ht="15.75" customHeight="1">
      <c r="K203" s="51"/>
    </row>
    <row r="204" spans="11:11" ht="15.75" customHeight="1">
      <c r="K204" s="51"/>
    </row>
    <row r="205" spans="11:11" ht="15.75" customHeight="1">
      <c r="K205" s="51"/>
    </row>
    <row r="206" spans="11:11" ht="15.75" customHeight="1">
      <c r="K206" s="51"/>
    </row>
    <row r="207" spans="11:11" ht="15.75" customHeight="1">
      <c r="K207" s="51"/>
    </row>
    <row r="208" spans="11:11" ht="15.75" customHeight="1">
      <c r="K208" s="51"/>
    </row>
    <row r="209" spans="11:11" ht="15.75" customHeight="1">
      <c r="K209" s="51"/>
    </row>
    <row r="210" spans="11:11" ht="15.75" customHeight="1">
      <c r="K210" s="51"/>
    </row>
    <row r="211" spans="11:11" ht="15.75" customHeight="1">
      <c r="K211" s="51"/>
    </row>
    <row r="212" spans="11:11" ht="15.75" customHeight="1">
      <c r="K212" s="51"/>
    </row>
    <row r="213" spans="11:11" ht="15.75" customHeight="1">
      <c r="K213" s="51"/>
    </row>
    <row r="214" spans="11:11" ht="15.75" customHeight="1">
      <c r="K214" s="51"/>
    </row>
    <row r="215" spans="11:11" ht="15.75" customHeight="1">
      <c r="K215" s="51"/>
    </row>
    <row r="216" spans="11:11" ht="15.75" customHeight="1">
      <c r="K216" s="51"/>
    </row>
    <row r="217" spans="11:11" ht="15.75" customHeight="1">
      <c r="K217" s="51"/>
    </row>
    <row r="218" spans="11:11" ht="15.75" customHeight="1">
      <c r="K218" s="51"/>
    </row>
    <row r="219" spans="11:11" ht="15.75" customHeight="1">
      <c r="K219" s="51"/>
    </row>
    <row r="220" spans="11:11" ht="15.75" customHeight="1">
      <c r="K220" s="51"/>
    </row>
    <row r="221" spans="11:11" ht="15.75" customHeight="1">
      <c r="K221" s="51"/>
    </row>
    <row r="222" spans="11:11" ht="15.75" customHeight="1">
      <c r="K222" s="51"/>
    </row>
    <row r="223" spans="11:11" ht="15.75" customHeight="1">
      <c r="K223" s="51"/>
    </row>
    <row r="224" spans="11:11" ht="15.75" customHeight="1">
      <c r="K224" s="51"/>
    </row>
    <row r="225" spans="11:11" ht="15.75" customHeight="1">
      <c r="K225" s="51"/>
    </row>
    <row r="226" spans="11:11" ht="15.75" customHeight="1">
      <c r="K226" s="51"/>
    </row>
    <row r="227" spans="11:11" ht="15.75" customHeight="1">
      <c r="K227" s="51"/>
    </row>
    <row r="228" spans="11:11" ht="15.75" customHeight="1">
      <c r="K228" s="51"/>
    </row>
    <row r="229" spans="11:11" ht="15.75" customHeight="1">
      <c r="K229" s="51"/>
    </row>
    <row r="230" spans="11:11" ht="15.75" customHeight="1">
      <c r="K230" s="51"/>
    </row>
    <row r="231" spans="11:11" ht="15.75" customHeight="1">
      <c r="K231" s="51"/>
    </row>
    <row r="232" spans="11:11" ht="15.75" customHeight="1">
      <c r="K232" s="51"/>
    </row>
    <row r="233" spans="11:11" ht="15.75" customHeight="1">
      <c r="K233" s="51"/>
    </row>
    <row r="234" spans="11:11" ht="15.75" customHeight="1">
      <c r="K234" s="51"/>
    </row>
    <row r="235" spans="11:11" ht="15.75" customHeight="1">
      <c r="K235" s="51"/>
    </row>
    <row r="236" spans="11:11" ht="15.75" customHeight="1">
      <c r="K236" s="51"/>
    </row>
    <row r="237" spans="11:11" ht="15.75" customHeight="1">
      <c r="K237" s="51"/>
    </row>
    <row r="238" spans="11:11" ht="15.75" customHeight="1">
      <c r="K238" s="51"/>
    </row>
    <row r="239" spans="11:11" ht="15.75" customHeight="1">
      <c r="K239" s="51"/>
    </row>
    <row r="240" spans="11:11" ht="15.75" customHeight="1">
      <c r="K240" s="51"/>
    </row>
    <row r="241" spans="11:11" ht="15.75" customHeight="1">
      <c r="K241" s="51"/>
    </row>
    <row r="242" spans="11:11" ht="15.75" customHeight="1">
      <c r="K242" s="51"/>
    </row>
    <row r="243" spans="11:11" ht="15.75" customHeight="1">
      <c r="K243" s="51"/>
    </row>
    <row r="244" spans="11:11" ht="15.75" customHeight="1">
      <c r="K244" s="51"/>
    </row>
    <row r="245" spans="11:11" ht="15.75" customHeight="1">
      <c r="K245" s="51"/>
    </row>
    <row r="246" spans="11:11" ht="15.75" customHeight="1">
      <c r="K246" s="51"/>
    </row>
    <row r="247" spans="11:11" ht="15.75" customHeight="1">
      <c r="K247" s="51"/>
    </row>
    <row r="248" spans="11:11" ht="15.75" customHeight="1">
      <c r="K248" s="51"/>
    </row>
    <row r="249" spans="11:11" ht="15.75" customHeight="1">
      <c r="K249" s="51"/>
    </row>
    <row r="250" spans="11:11" ht="15.75" customHeight="1">
      <c r="K250" s="51"/>
    </row>
    <row r="251" spans="11:11" ht="15.75" customHeight="1">
      <c r="K251" s="51"/>
    </row>
    <row r="252" spans="11:11" ht="15.75" customHeight="1">
      <c r="K252" s="51"/>
    </row>
    <row r="253" spans="11:11" ht="15.75" customHeight="1">
      <c r="K253" s="51"/>
    </row>
    <row r="254" spans="11:11" ht="15.75" customHeight="1">
      <c r="K254" s="51"/>
    </row>
    <row r="255" spans="11:11" ht="15.75" customHeight="1">
      <c r="K255" s="51"/>
    </row>
    <row r="256" spans="11:11" ht="15.75" customHeight="1">
      <c r="K256" s="51"/>
    </row>
    <row r="257" spans="11:11" ht="15.75" customHeight="1">
      <c r="K257" s="51"/>
    </row>
    <row r="258" spans="11:11" ht="15.75" customHeight="1">
      <c r="K258" s="51"/>
    </row>
    <row r="259" spans="11:11" ht="15.75" customHeight="1">
      <c r="K259" s="51"/>
    </row>
    <row r="260" spans="11:11" ht="15.75" customHeight="1">
      <c r="K260" s="51"/>
    </row>
    <row r="261" spans="11:11" ht="15.75" customHeight="1">
      <c r="K261" s="51"/>
    </row>
    <row r="262" spans="11:11" ht="15.75" customHeight="1">
      <c r="K262" s="51"/>
    </row>
    <row r="263" spans="11:11" ht="15.75" customHeight="1">
      <c r="K263" s="51"/>
    </row>
    <row r="264" spans="11:11" ht="15.75" customHeight="1">
      <c r="K264" s="51"/>
    </row>
    <row r="265" spans="11:11" ht="15.75" customHeight="1">
      <c r="K265" s="51"/>
    </row>
    <row r="266" spans="11:11" ht="15.75" customHeight="1">
      <c r="K266" s="51"/>
    </row>
    <row r="267" spans="11:11" ht="15.75" customHeight="1">
      <c r="K267" s="51"/>
    </row>
    <row r="268" spans="11:11" ht="15.75" customHeight="1">
      <c r="K268" s="51"/>
    </row>
    <row r="269" spans="11:11" ht="15.75" customHeight="1">
      <c r="K269" s="51"/>
    </row>
    <row r="270" spans="11:11" ht="15.75" customHeight="1">
      <c r="K270" s="51"/>
    </row>
    <row r="271" spans="11:11" ht="15.75" customHeight="1">
      <c r="K271" s="51"/>
    </row>
    <row r="272" spans="11:11" ht="15.75" customHeight="1">
      <c r="K272" s="51"/>
    </row>
    <row r="273" spans="11:11" ht="15.75" customHeight="1">
      <c r="K273" s="51"/>
    </row>
    <row r="274" spans="11:11" ht="15.75" customHeight="1">
      <c r="K274" s="51"/>
    </row>
    <row r="275" spans="11:11" ht="15.75" customHeight="1">
      <c r="K275" s="51"/>
    </row>
    <row r="276" spans="11:11" ht="15.75" customHeight="1">
      <c r="K276" s="51"/>
    </row>
    <row r="277" spans="11:11" ht="15.75" customHeight="1">
      <c r="K277" s="51"/>
    </row>
    <row r="278" spans="11:11" ht="15.75" customHeight="1">
      <c r="K278" s="51"/>
    </row>
    <row r="279" spans="11:11" ht="15.75" customHeight="1">
      <c r="K279" s="51"/>
    </row>
    <row r="280" spans="11:11" ht="15.75" customHeight="1">
      <c r="K280" s="51"/>
    </row>
    <row r="281" spans="11:11" ht="15.75" customHeight="1">
      <c r="K281" s="51"/>
    </row>
    <row r="282" spans="11:11" ht="15.75" customHeight="1">
      <c r="K282" s="51"/>
    </row>
    <row r="283" spans="11:11" ht="15.75" customHeight="1">
      <c r="K283" s="51"/>
    </row>
    <row r="284" spans="11:11" ht="15.75" customHeight="1">
      <c r="K284" s="51"/>
    </row>
    <row r="285" spans="11:11" ht="15.75" customHeight="1">
      <c r="K285" s="51"/>
    </row>
    <row r="286" spans="11:11" ht="15.75" customHeight="1">
      <c r="K286" s="51"/>
    </row>
    <row r="287" spans="11:11" ht="15.75" customHeight="1">
      <c r="K287" s="51"/>
    </row>
    <row r="288" spans="11:11" ht="15.75" customHeight="1">
      <c r="K288" s="51"/>
    </row>
    <row r="289" spans="11:11" ht="15.75" customHeight="1">
      <c r="K289" s="51"/>
    </row>
    <row r="290" spans="11:11" ht="15.75" customHeight="1">
      <c r="K290" s="51"/>
    </row>
    <row r="291" spans="11:11" ht="15.75" customHeight="1">
      <c r="K291" s="51"/>
    </row>
    <row r="292" spans="11:11" ht="15.75" customHeight="1">
      <c r="K292" s="51"/>
    </row>
    <row r="293" spans="11:11" ht="15.75" customHeight="1">
      <c r="K293" s="51"/>
    </row>
    <row r="294" spans="11:11" ht="15.75" customHeight="1">
      <c r="K294" s="51"/>
    </row>
    <row r="295" spans="11:11" ht="15.75" customHeight="1">
      <c r="K295" s="51"/>
    </row>
    <row r="296" spans="11:11" ht="15.75" customHeight="1">
      <c r="K296" s="51"/>
    </row>
    <row r="297" spans="11:11" ht="15.75" customHeight="1">
      <c r="K297" s="51"/>
    </row>
    <row r="298" spans="11:11" ht="15.75" customHeight="1">
      <c r="K298" s="51"/>
    </row>
    <row r="299" spans="11:11" ht="15.75" customHeight="1">
      <c r="K299" s="51"/>
    </row>
    <row r="300" spans="11:11" ht="15.75" customHeight="1">
      <c r="K300" s="51"/>
    </row>
    <row r="301" spans="11:11" ht="15.75" customHeight="1">
      <c r="K301" s="51"/>
    </row>
    <row r="302" spans="11:11" ht="15.75" customHeight="1">
      <c r="K302" s="51"/>
    </row>
    <row r="303" spans="11:11" ht="15.75" customHeight="1">
      <c r="K303" s="51"/>
    </row>
    <row r="304" spans="11:11" ht="15.75" customHeight="1">
      <c r="K304" s="51"/>
    </row>
    <row r="305" spans="11:11" ht="15.75" customHeight="1">
      <c r="K305" s="51"/>
    </row>
    <row r="306" spans="11:11" ht="15.75" customHeight="1">
      <c r="K306" s="51"/>
    </row>
    <row r="307" spans="11:11" ht="15.75" customHeight="1">
      <c r="K307" s="51"/>
    </row>
    <row r="308" spans="11:11" ht="15.75" customHeight="1">
      <c r="K308" s="51"/>
    </row>
    <row r="309" spans="11:11" ht="15.75" customHeight="1">
      <c r="K309" s="51"/>
    </row>
    <row r="310" spans="11:11" ht="15.75" customHeight="1">
      <c r="K310" s="51"/>
    </row>
    <row r="311" spans="11:11" ht="15.75" customHeight="1">
      <c r="K311" s="51"/>
    </row>
    <row r="312" spans="11:11" ht="15.75" customHeight="1">
      <c r="K312" s="51"/>
    </row>
    <row r="313" spans="11:11" ht="15.75" customHeight="1">
      <c r="K313" s="51"/>
    </row>
    <row r="314" spans="11:11" ht="15.75" customHeight="1">
      <c r="K314" s="51"/>
    </row>
    <row r="315" spans="11:11" ht="15.75" customHeight="1">
      <c r="K315" s="51"/>
    </row>
    <row r="316" spans="11:11" ht="15.75" customHeight="1">
      <c r="K316" s="51"/>
    </row>
    <row r="317" spans="11:11" ht="15.75" customHeight="1">
      <c r="K317" s="51"/>
    </row>
    <row r="318" spans="11:11" ht="15.75" customHeight="1">
      <c r="K318" s="51"/>
    </row>
    <row r="319" spans="11:11" ht="15.75" customHeight="1">
      <c r="K319" s="51"/>
    </row>
    <row r="320" spans="11:11" ht="15.75" customHeight="1">
      <c r="K320" s="51"/>
    </row>
    <row r="321" spans="11:11" ht="15.75" customHeight="1">
      <c r="K321" s="51"/>
    </row>
    <row r="322" spans="11:11" ht="15.75" customHeight="1">
      <c r="K322" s="51"/>
    </row>
    <row r="323" spans="11:11" ht="15.75" customHeight="1">
      <c r="K323" s="51"/>
    </row>
    <row r="324" spans="11:11" ht="15.75" customHeight="1">
      <c r="K324" s="51"/>
    </row>
    <row r="325" spans="11:11" ht="15.75" customHeight="1">
      <c r="K325" s="51"/>
    </row>
    <row r="326" spans="11:11" ht="15.75" customHeight="1">
      <c r="K326" s="51"/>
    </row>
    <row r="327" spans="11:11" ht="15.75" customHeight="1">
      <c r="K327" s="51"/>
    </row>
    <row r="328" spans="11:11" ht="15.75" customHeight="1">
      <c r="K328" s="51"/>
    </row>
    <row r="329" spans="11:11" ht="15.75" customHeight="1">
      <c r="K329" s="51"/>
    </row>
    <row r="330" spans="11:11" ht="15.75" customHeight="1">
      <c r="K330" s="51"/>
    </row>
    <row r="331" spans="11:11" ht="15.75" customHeight="1">
      <c r="K331" s="51"/>
    </row>
    <row r="332" spans="11:11" ht="15.75" customHeight="1">
      <c r="K332" s="51"/>
    </row>
    <row r="333" spans="11:11" ht="15.75" customHeight="1">
      <c r="K333" s="51"/>
    </row>
    <row r="334" spans="11:11" ht="15.75" customHeight="1">
      <c r="K334" s="51"/>
    </row>
    <row r="335" spans="11:11" ht="15.75" customHeight="1">
      <c r="K335" s="51"/>
    </row>
    <row r="336" spans="11:11" ht="15.75" customHeight="1">
      <c r="K336" s="51"/>
    </row>
    <row r="337" spans="11:11" ht="15.75" customHeight="1">
      <c r="K337" s="51"/>
    </row>
    <row r="338" spans="11:11" ht="15.75" customHeight="1">
      <c r="K338" s="51"/>
    </row>
    <row r="339" spans="11:11" ht="15.75" customHeight="1">
      <c r="K339" s="51"/>
    </row>
    <row r="340" spans="11:11" ht="15.75" customHeight="1">
      <c r="K340" s="51"/>
    </row>
    <row r="341" spans="11:11" ht="15.75" customHeight="1">
      <c r="K341" s="51"/>
    </row>
    <row r="342" spans="11:11" ht="15.75" customHeight="1">
      <c r="K342" s="51"/>
    </row>
    <row r="343" spans="11:11" ht="15.75" customHeight="1">
      <c r="K343" s="51"/>
    </row>
    <row r="344" spans="11:11" ht="15.75" customHeight="1">
      <c r="K344" s="51"/>
    </row>
    <row r="345" spans="11:11" ht="15.75" customHeight="1">
      <c r="K345" s="51"/>
    </row>
    <row r="346" spans="11:11" ht="15.75" customHeight="1">
      <c r="K346" s="51"/>
    </row>
    <row r="347" spans="11:11" ht="15.75" customHeight="1">
      <c r="K347" s="51"/>
    </row>
    <row r="348" spans="11:11" ht="15.75" customHeight="1">
      <c r="K348" s="51"/>
    </row>
    <row r="349" spans="11:11" ht="15.75" customHeight="1">
      <c r="K349" s="51"/>
    </row>
    <row r="350" spans="11:11" ht="15.75" customHeight="1">
      <c r="K350" s="51"/>
    </row>
    <row r="351" spans="11:11" ht="15.75" customHeight="1">
      <c r="K351" s="51"/>
    </row>
    <row r="352" spans="11:11" ht="15.75" customHeight="1">
      <c r="K352" s="51"/>
    </row>
    <row r="353" spans="11:11" ht="15.75" customHeight="1">
      <c r="K353" s="51"/>
    </row>
    <row r="354" spans="11:11" ht="15.75" customHeight="1">
      <c r="K354" s="51"/>
    </row>
    <row r="355" spans="11:11" ht="15.75" customHeight="1">
      <c r="K355" s="51"/>
    </row>
    <row r="356" spans="11:11" ht="15.75" customHeight="1">
      <c r="K356" s="51"/>
    </row>
    <row r="357" spans="11:11" ht="15.75" customHeight="1">
      <c r="K357" s="51"/>
    </row>
    <row r="358" spans="11:11" ht="15.75" customHeight="1">
      <c r="K358" s="51"/>
    </row>
    <row r="359" spans="11:11" ht="15.75" customHeight="1">
      <c r="K359" s="51"/>
    </row>
    <row r="360" spans="11:11" ht="15.75" customHeight="1">
      <c r="K360" s="51"/>
    </row>
    <row r="361" spans="11:11" ht="15.75" customHeight="1">
      <c r="K361" s="51"/>
    </row>
    <row r="362" spans="11:11" ht="15.75" customHeight="1">
      <c r="K362" s="51"/>
    </row>
    <row r="363" spans="11:11" ht="15.75" customHeight="1">
      <c r="K363" s="51"/>
    </row>
    <row r="364" spans="11:11" ht="15.75" customHeight="1">
      <c r="K364" s="51"/>
    </row>
    <row r="365" spans="11:11" ht="15.75" customHeight="1">
      <c r="K365" s="51"/>
    </row>
    <row r="366" spans="11:11" ht="15.75" customHeight="1">
      <c r="K366" s="51"/>
    </row>
    <row r="367" spans="11:11" ht="15.75" customHeight="1">
      <c r="K367" s="51"/>
    </row>
    <row r="368" spans="11:11" ht="15.75" customHeight="1">
      <c r="K368" s="51"/>
    </row>
    <row r="369" spans="11:11" ht="15.75" customHeight="1">
      <c r="K369" s="51"/>
    </row>
    <row r="370" spans="11:11" ht="15.75" customHeight="1">
      <c r="K370" s="51"/>
    </row>
    <row r="371" spans="11:11" ht="15.75" customHeight="1">
      <c r="K371" s="51"/>
    </row>
    <row r="372" spans="11:11" ht="15.75" customHeight="1">
      <c r="K372" s="51"/>
    </row>
    <row r="373" spans="11:11" ht="15.75" customHeight="1">
      <c r="K373" s="51"/>
    </row>
    <row r="374" spans="11:11" ht="15.75" customHeight="1">
      <c r="K374" s="51"/>
    </row>
    <row r="375" spans="11:11" ht="15.75" customHeight="1">
      <c r="K375" s="51"/>
    </row>
    <row r="376" spans="11:11" ht="15.75" customHeight="1">
      <c r="K376" s="51"/>
    </row>
    <row r="377" spans="11:11" ht="15.75" customHeight="1">
      <c r="K377" s="51"/>
    </row>
    <row r="378" spans="11:11" ht="15.75" customHeight="1">
      <c r="K378" s="51"/>
    </row>
    <row r="379" spans="11:11" ht="15.75" customHeight="1">
      <c r="K379" s="51"/>
    </row>
    <row r="380" spans="11:11" ht="15.75" customHeight="1">
      <c r="K380" s="51"/>
    </row>
    <row r="381" spans="11:11" ht="15.75" customHeight="1">
      <c r="K381" s="51"/>
    </row>
    <row r="382" spans="11:11" ht="15.75" customHeight="1">
      <c r="K382" s="51"/>
    </row>
    <row r="383" spans="11:11" ht="15.75" customHeight="1">
      <c r="K383" s="51"/>
    </row>
    <row r="384" spans="11:11" ht="15.75" customHeight="1">
      <c r="K384" s="51"/>
    </row>
    <row r="385" spans="11:11" ht="15.75" customHeight="1">
      <c r="K385" s="51"/>
    </row>
    <row r="386" spans="11:11" ht="15.75" customHeight="1">
      <c r="K386" s="51"/>
    </row>
    <row r="387" spans="11:11" ht="15.75" customHeight="1">
      <c r="K387" s="51"/>
    </row>
    <row r="388" spans="11:11" ht="15.75" customHeight="1">
      <c r="K388" s="51"/>
    </row>
    <row r="389" spans="11:11" ht="15.75" customHeight="1">
      <c r="K389" s="51"/>
    </row>
    <row r="390" spans="11:11" ht="15.75" customHeight="1">
      <c r="K390" s="51"/>
    </row>
    <row r="391" spans="11:11" ht="15.75" customHeight="1">
      <c r="K391" s="51"/>
    </row>
    <row r="392" spans="11:11" ht="15.75" customHeight="1">
      <c r="K392" s="51"/>
    </row>
    <row r="393" spans="11:11" ht="15.75" customHeight="1">
      <c r="K393" s="51"/>
    </row>
    <row r="394" spans="11:11" ht="15.75" customHeight="1">
      <c r="K394" s="51"/>
    </row>
    <row r="395" spans="11:11" ht="15.75" customHeight="1">
      <c r="K395" s="51"/>
    </row>
    <row r="396" spans="11:11" ht="15.75" customHeight="1">
      <c r="K396" s="51"/>
    </row>
    <row r="397" spans="11:11" ht="15.75" customHeight="1">
      <c r="K397" s="51"/>
    </row>
    <row r="398" spans="11:11" ht="15.75" customHeight="1">
      <c r="K398" s="51"/>
    </row>
    <row r="399" spans="11:11" ht="15.75" customHeight="1">
      <c r="K399" s="51"/>
    </row>
    <row r="400" spans="11:11" ht="15.75" customHeight="1">
      <c r="K400" s="51"/>
    </row>
    <row r="401" spans="11:11" ht="15.75" customHeight="1">
      <c r="K401" s="51"/>
    </row>
    <row r="402" spans="11:11" ht="15.75" customHeight="1">
      <c r="K402" s="51"/>
    </row>
    <row r="403" spans="11:11" ht="15.75" customHeight="1">
      <c r="K403" s="51"/>
    </row>
    <row r="404" spans="11:11" ht="15.75" customHeight="1">
      <c r="K404" s="51"/>
    </row>
    <row r="405" spans="11:11" ht="15.75" customHeight="1">
      <c r="K405" s="51"/>
    </row>
    <row r="406" spans="11:11" ht="15.75" customHeight="1">
      <c r="K406" s="51"/>
    </row>
    <row r="407" spans="11:11" ht="15.75" customHeight="1">
      <c r="K407" s="51"/>
    </row>
    <row r="408" spans="11:11" ht="15.75" customHeight="1">
      <c r="K408" s="51"/>
    </row>
    <row r="409" spans="11:11" ht="15.75" customHeight="1">
      <c r="K409" s="51"/>
    </row>
    <row r="410" spans="11:11" ht="15.75" customHeight="1">
      <c r="K410" s="51"/>
    </row>
    <row r="411" spans="11:11" ht="15.75" customHeight="1">
      <c r="K411" s="51"/>
    </row>
    <row r="412" spans="11:11" ht="15.75" customHeight="1">
      <c r="K412" s="51"/>
    </row>
    <row r="413" spans="11:11" ht="15.75" customHeight="1">
      <c r="K413" s="51"/>
    </row>
    <row r="414" spans="11:11" ht="15.75" customHeight="1">
      <c r="K414" s="51"/>
    </row>
    <row r="415" spans="11:11" ht="15.75" customHeight="1">
      <c r="K415" s="51"/>
    </row>
    <row r="416" spans="11:11" ht="15.75" customHeight="1">
      <c r="K416" s="51"/>
    </row>
    <row r="417" spans="11:11" ht="15.75" customHeight="1">
      <c r="K417" s="51"/>
    </row>
    <row r="418" spans="11:11" ht="15.75" customHeight="1">
      <c r="K418" s="51"/>
    </row>
    <row r="419" spans="11:11" ht="15.75" customHeight="1">
      <c r="K419" s="51"/>
    </row>
    <row r="420" spans="11:11" ht="15.75" customHeight="1">
      <c r="K420" s="51"/>
    </row>
    <row r="421" spans="11:11" ht="15.75" customHeight="1">
      <c r="K421" s="51"/>
    </row>
    <row r="422" spans="11:11" ht="15.75" customHeight="1">
      <c r="K422" s="51"/>
    </row>
    <row r="423" spans="11:11" ht="15.75" customHeight="1">
      <c r="K423" s="51"/>
    </row>
    <row r="424" spans="11:11" ht="15.75" customHeight="1">
      <c r="K424" s="51"/>
    </row>
    <row r="425" spans="11:11" ht="15.75" customHeight="1">
      <c r="K425" s="51"/>
    </row>
    <row r="426" spans="11:11" ht="15.75" customHeight="1">
      <c r="K426" s="51"/>
    </row>
    <row r="427" spans="11:11" ht="15.75" customHeight="1">
      <c r="K427" s="51"/>
    </row>
    <row r="428" spans="11:11" ht="15.75" customHeight="1">
      <c r="K428" s="51"/>
    </row>
    <row r="429" spans="11:11" ht="15.75" customHeight="1">
      <c r="K429" s="51"/>
    </row>
    <row r="430" spans="11:11" ht="15.75" customHeight="1">
      <c r="K430" s="51"/>
    </row>
    <row r="431" spans="11:11" ht="15.75" customHeight="1">
      <c r="K431" s="51"/>
    </row>
    <row r="432" spans="11:11" ht="15.75" customHeight="1">
      <c r="K432" s="51"/>
    </row>
    <row r="433" spans="11:11" ht="15.75" customHeight="1">
      <c r="K433" s="51"/>
    </row>
    <row r="434" spans="11:11" ht="15.75" customHeight="1">
      <c r="K434" s="51"/>
    </row>
    <row r="435" spans="11:11" ht="15.75" customHeight="1">
      <c r="K435" s="51"/>
    </row>
    <row r="436" spans="11:11" ht="15.75" customHeight="1">
      <c r="K436" s="51"/>
    </row>
    <row r="437" spans="11:11" ht="15.75" customHeight="1">
      <c r="K437" s="51"/>
    </row>
    <row r="438" spans="11:11" ht="15.75" customHeight="1">
      <c r="K438" s="51"/>
    </row>
    <row r="439" spans="11:11" ht="15.75" customHeight="1">
      <c r="K439" s="51"/>
    </row>
    <row r="440" spans="11:11" ht="15.75" customHeight="1">
      <c r="K440" s="51"/>
    </row>
    <row r="441" spans="11:11" ht="15.75" customHeight="1">
      <c r="K441" s="51"/>
    </row>
    <row r="442" spans="11:11" ht="15.75" customHeight="1">
      <c r="K442" s="51"/>
    </row>
    <row r="443" spans="11:11" ht="15.75" customHeight="1">
      <c r="K443" s="51"/>
    </row>
    <row r="444" spans="11:11" ht="15.75" customHeight="1">
      <c r="K444" s="51"/>
    </row>
    <row r="445" spans="11:11" ht="15.75" customHeight="1">
      <c r="K445" s="51"/>
    </row>
    <row r="446" spans="11:11" ht="15.75" customHeight="1">
      <c r="K446" s="51"/>
    </row>
    <row r="447" spans="11:11" ht="15.75" customHeight="1">
      <c r="K447" s="51"/>
    </row>
    <row r="448" spans="11:11" ht="15.75" customHeight="1">
      <c r="K448" s="51"/>
    </row>
    <row r="449" spans="11:11" ht="15.75" customHeight="1">
      <c r="K449" s="51"/>
    </row>
    <row r="450" spans="11:11" ht="15.75" customHeight="1">
      <c r="K450" s="51"/>
    </row>
    <row r="451" spans="11:11" ht="15.75" customHeight="1">
      <c r="K451" s="51"/>
    </row>
    <row r="452" spans="11:11" ht="15.75" customHeight="1">
      <c r="K452" s="51"/>
    </row>
    <row r="453" spans="11:11" ht="15.75" customHeight="1">
      <c r="K453" s="51"/>
    </row>
    <row r="454" spans="11:11" ht="15.75" customHeight="1">
      <c r="K454" s="51"/>
    </row>
    <row r="455" spans="11:11" ht="15.75" customHeight="1">
      <c r="K455" s="51"/>
    </row>
    <row r="456" spans="11:11" ht="15.75" customHeight="1">
      <c r="K456" s="51"/>
    </row>
    <row r="457" spans="11:11" ht="15.75" customHeight="1">
      <c r="K457" s="51"/>
    </row>
    <row r="458" spans="11:11" ht="15.75" customHeight="1">
      <c r="K458" s="51"/>
    </row>
    <row r="459" spans="11:11" ht="15.75" customHeight="1">
      <c r="K459" s="51"/>
    </row>
    <row r="460" spans="11:11" ht="15.75" customHeight="1">
      <c r="K460" s="51"/>
    </row>
    <row r="461" spans="11:11" ht="15.75" customHeight="1">
      <c r="K461" s="51"/>
    </row>
    <row r="462" spans="11:11" ht="15.75" customHeight="1">
      <c r="K462" s="51"/>
    </row>
    <row r="463" spans="11:11" ht="15.75" customHeight="1">
      <c r="K463" s="51"/>
    </row>
    <row r="464" spans="11:11" ht="15.75" customHeight="1">
      <c r="K464" s="51"/>
    </row>
    <row r="465" spans="11:11" ht="15.75" customHeight="1">
      <c r="K465" s="51"/>
    </row>
    <row r="466" spans="11:11" ht="15.75" customHeight="1">
      <c r="K466" s="51"/>
    </row>
    <row r="467" spans="11:11" ht="15.75" customHeight="1">
      <c r="K467" s="51"/>
    </row>
    <row r="468" spans="11:11" ht="15.75" customHeight="1">
      <c r="K468" s="51"/>
    </row>
    <row r="469" spans="11:11" ht="15.75" customHeight="1">
      <c r="K469" s="51"/>
    </row>
    <row r="470" spans="11:11" ht="15.75" customHeight="1">
      <c r="K470" s="51"/>
    </row>
    <row r="471" spans="11:11" ht="15.75" customHeight="1">
      <c r="K471" s="51"/>
    </row>
    <row r="472" spans="11:11" ht="15.75" customHeight="1">
      <c r="K472" s="51"/>
    </row>
    <row r="473" spans="11:11" ht="15.75" customHeight="1">
      <c r="K473" s="51"/>
    </row>
    <row r="474" spans="11:11" ht="15.75" customHeight="1">
      <c r="K474" s="51"/>
    </row>
    <row r="475" spans="11:11" ht="15.75" customHeight="1">
      <c r="K475" s="51"/>
    </row>
    <row r="476" spans="11:11" ht="15.75" customHeight="1">
      <c r="K476" s="51"/>
    </row>
    <row r="477" spans="11:11" ht="15.75" customHeight="1">
      <c r="K477" s="51"/>
    </row>
    <row r="478" spans="11:11" ht="15.75" customHeight="1">
      <c r="K478" s="51"/>
    </row>
    <row r="479" spans="11:11" ht="15.75" customHeight="1">
      <c r="K479" s="51"/>
    </row>
    <row r="480" spans="11:11" ht="15.75" customHeight="1">
      <c r="K480" s="51"/>
    </row>
    <row r="481" spans="11:11" ht="15.75" customHeight="1">
      <c r="K481" s="51"/>
    </row>
    <row r="482" spans="11:11" ht="15.75" customHeight="1">
      <c r="K482" s="51"/>
    </row>
    <row r="483" spans="11:11" ht="15.75" customHeight="1">
      <c r="K483" s="51"/>
    </row>
    <row r="484" spans="11:11" ht="15.75" customHeight="1">
      <c r="K484" s="51"/>
    </row>
    <row r="485" spans="11:11" ht="15.75" customHeight="1">
      <c r="K485" s="51"/>
    </row>
    <row r="486" spans="11:11" ht="15.75" customHeight="1">
      <c r="K486" s="51"/>
    </row>
    <row r="487" spans="11:11" ht="15.75" customHeight="1">
      <c r="K487" s="51"/>
    </row>
    <row r="488" spans="11:11" ht="15.75" customHeight="1">
      <c r="K488" s="51"/>
    </row>
    <row r="489" spans="11:11" ht="15.75" customHeight="1">
      <c r="K489" s="51"/>
    </row>
    <row r="490" spans="11:11" ht="15.75" customHeight="1">
      <c r="K490" s="51"/>
    </row>
    <row r="491" spans="11:11" ht="15.75" customHeight="1">
      <c r="K491" s="51"/>
    </row>
    <row r="492" spans="11:11" ht="15.75" customHeight="1">
      <c r="K492" s="51"/>
    </row>
    <row r="493" spans="11:11" ht="15.75" customHeight="1">
      <c r="K493" s="51"/>
    </row>
    <row r="494" spans="11:11" ht="15.75" customHeight="1">
      <c r="K494" s="51"/>
    </row>
    <row r="495" spans="11:11" ht="15.75" customHeight="1">
      <c r="K495" s="51"/>
    </row>
    <row r="496" spans="11:11" ht="15.75" customHeight="1">
      <c r="K496" s="51"/>
    </row>
    <row r="497" spans="11:11" ht="15.75" customHeight="1">
      <c r="K497" s="51"/>
    </row>
    <row r="498" spans="11:11" ht="15.75" customHeight="1">
      <c r="K498" s="51"/>
    </row>
    <row r="499" spans="11:11" ht="15.75" customHeight="1">
      <c r="K499" s="51"/>
    </row>
    <row r="500" spans="11:11" ht="15.75" customHeight="1">
      <c r="K500" s="51"/>
    </row>
    <row r="501" spans="11:11" ht="15.75" customHeight="1">
      <c r="K501" s="51"/>
    </row>
    <row r="502" spans="11:11" ht="15.75" customHeight="1">
      <c r="K502" s="51"/>
    </row>
    <row r="503" spans="11:11" ht="15.75" customHeight="1">
      <c r="K503" s="51"/>
    </row>
    <row r="504" spans="11:11" ht="15.75" customHeight="1">
      <c r="K504" s="51"/>
    </row>
    <row r="505" spans="11:11" ht="15.75" customHeight="1">
      <c r="K505" s="51"/>
    </row>
    <row r="506" spans="11:11" ht="15.75" customHeight="1">
      <c r="K506" s="51"/>
    </row>
    <row r="507" spans="11:11" ht="15.75" customHeight="1">
      <c r="K507" s="51"/>
    </row>
    <row r="508" spans="11:11" ht="15.75" customHeight="1">
      <c r="K508" s="51"/>
    </row>
    <row r="509" spans="11:11" ht="15.75" customHeight="1">
      <c r="K509" s="51"/>
    </row>
    <row r="510" spans="11:11" ht="15.75" customHeight="1">
      <c r="K510" s="51"/>
    </row>
    <row r="511" spans="11:11" ht="15.75" customHeight="1">
      <c r="K511" s="51"/>
    </row>
    <row r="512" spans="11:11" ht="15.75" customHeight="1">
      <c r="K512" s="51"/>
    </row>
    <row r="513" spans="11:11" ht="15.75" customHeight="1">
      <c r="K513" s="51"/>
    </row>
    <row r="514" spans="11:11" ht="15.75" customHeight="1">
      <c r="K514" s="51"/>
    </row>
    <row r="515" spans="11:11" ht="15.75" customHeight="1">
      <c r="K515" s="51"/>
    </row>
    <row r="516" spans="11:11" ht="15.75" customHeight="1">
      <c r="K516" s="51"/>
    </row>
    <row r="517" spans="11:11" ht="15.75" customHeight="1">
      <c r="K517" s="51"/>
    </row>
    <row r="518" spans="11:11" ht="15.75" customHeight="1">
      <c r="K518" s="51"/>
    </row>
    <row r="519" spans="11:11" ht="15.75" customHeight="1">
      <c r="K519" s="51"/>
    </row>
    <row r="520" spans="11:11" ht="15.75" customHeight="1">
      <c r="K520" s="51"/>
    </row>
    <row r="521" spans="11:11" ht="15.75" customHeight="1">
      <c r="K521" s="51"/>
    </row>
    <row r="522" spans="11:11" ht="15.75" customHeight="1">
      <c r="K522" s="51"/>
    </row>
    <row r="523" spans="11:11" ht="15.75" customHeight="1">
      <c r="K523" s="51"/>
    </row>
    <row r="524" spans="11:11" ht="15.75" customHeight="1">
      <c r="K524" s="51"/>
    </row>
    <row r="525" spans="11:11" ht="15.75" customHeight="1">
      <c r="K525" s="51"/>
    </row>
    <row r="526" spans="11:11" ht="15.75" customHeight="1">
      <c r="K526" s="51"/>
    </row>
    <row r="527" spans="11:11" ht="15.75" customHeight="1">
      <c r="K527" s="51"/>
    </row>
    <row r="528" spans="11:11" ht="15.75" customHeight="1">
      <c r="K528" s="51"/>
    </row>
    <row r="529" spans="11:11" ht="15.75" customHeight="1">
      <c r="K529" s="51"/>
    </row>
    <row r="530" spans="11:11" ht="15.75" customHeight="1">
      <c r="K530" s="51"/>
    </row>
    <row r="531" spans="11:11" ht="15.75" customHeight="1">
      <c r="K531" s="51"/>
    </row>
    <row r="532" spans="11:11" ht="15.75" customHeight="1">
      <c r="K532" s="51"/>
    </row>
    <row r="533" spans="11:11" ht="15.75" customHeight="1">
      <c r="K533" s="51"/>
    </row>
    <row r="534" spans="11:11" ht="15.75" customHeight="1">
      <c r="K534" s="51"/>
    </row>
    <row r="535" spans="11:11" ht="15.75" customHeight="1">
      <c r="K535" s="51"/>
    </row>
    <row r="536" spans="11:11" ht="15.75" customHeight="1">
      <c r="K536" s="51"/>
    </row>
    <row r="537" spans="11:11" ht="15.75" customHeight="1">
      <c r="K537" s="51"/>
    </row>
    <row r="538" spans="11:11" ht="15.75" customHeight="1">
      <c r="K538" s="51"/>
    </row>
    <row r="539" spans="11:11" ht="15.75" customHeight="1">
      <c r="K539" s="51"/>
    </row>
    <row r="540" spans="11:11" ht="15.75" customHeight="1">
      <c r="K540" s="51"/>
    </row>
    <row r="541" spans="11:11" ht="15.75" customHeight="1">
      <c r="K541" s="51"/>
    </row>
    <row r="542" spans="11:11" ht="15.75" customHeight="1">
      <c r="K542" s="51"/>
    </row>
    <row r="543" spans="11:11" ht="15.75" customHeight="1">
      <c r="K543" s="51"/>
    </row>
    <row r="544" spans="11:11" ht="15.75" customHeight="1">
      <c r="K544" s="51"/>
    </row>
    <row r="545" spans="11:11" ht="15.75" customHeight="1">
      <c r="K545" s="51"/>
    </row>
    <row r="546" spans="11:11" ht="15.75" customHeight="1">
      <c r="K546" s="51"/>
    </row>
    <row r="547" spans="11:11" ht="15.75" customHeight="1">
      <c r="K547" s="51"/>
    </row>
    <row r="548" spans="11:11" ht="15.75" customHeight="1">
      <c r="K548" s="51"/>
    </row>
    <row r="549" spans="11:11" ht="15.75" customHeight="1">
      <c r="K549" s="51"/>
    </row>
    <row r="550" spans="11:11" ht="15.75" customHeight="1">
      <c r="K550" s="51"/>
    </row>
    <row r="551" spans="11:11" ht="15.75" customHeight="1">
      <c r="K551" s="51"/>
    </row>
    <row r="552" spans="11:11" ht="15.75" customHeight="1">
      <c r="K552" s="51"/>
    </row>
    <row r="553" spans="11:11" ht="15.75" customHeight="1">
      <c r="K553" s="51"/>
    </row>
    <row r="554" spans="11:11" ht="15.75" customHeight="1">
      <c r="K554" s="51"/>
    </row>
    <row r="555" spans="11:11" ht="15.75" customHeight="1">
      <c r="K555" s="51"/>
    </row>
    <row r="556" spans="11:11" ht="15.75" customHeight="1">
      <c r="K556" s="51"/>
    </row>
    <row r="557" spans="11:11" ht="15.75" customHeight="1">
      <c r="K557" s="51"/>
    </row>
    <row r="558" spans="11:11" ht="15.75" customHeight="1">
      <c r="K558" s="51"/>
    </row>
    <row r="559" spans="11:11" ht="15.75" customHeight="1">
      <c r="K559" s="51"/>
    </row>
    <row r="560" spans="11:11" ht="15.75" customHeight="1">
      <c r="K560" s="51"/>
    </row>
    <row r="561" spans="11:11" ht="15.75" customHeight="1">
      <c r="K561" s="51"/>
    </row>
    <row r="562" spans="11:11" ht="15.75" customHeight="1">
      <c r="K562" s="51"/>
    </row>
    <row r="563" spans="11:11" ht="15.75" customHeight="1">
      <c r="K563" s="51"/>
    </row>
    <row r="564" spans="11:11" ht="15.75" customHeight="1">
      <c r="K564" s="51"/>
    </row>
    <row r="565" spans="11:11" ht="15.75" customHeight="1">
      <c r="K565" s="51"/>
    </row>
    <row r="566" spans="11:11" ht="15.75" customHeight="1">
      <c r="K566" s="51"/>
    </row>
    <row r="567" spans="11:11" ht="15.75" customHeight="1">
      <c r="K567" s="51"/>
    </row>
    <row r="568" spans="11:11" ht="15.75" customHeight="1">
      <c r="K568" s="51"/>
    </row>
    <row r="569" spans="11:11" ht="15.75" customHeight="1">
      <c r="K569" s="51"/>
    </row>
    <row r="570" spans="11:11" ht="15.75" customHeight="1">
      <c r="K570" s="51"/>
    </row>
    <row r="571" spans="11:11" ht="15.75" customHeight="1">
      <c r="K571" s="51"/>
    </row>
    <row r="572" spans="11:11" ht="15.75" customHeight="1">
      <c r="K572" s="51"/>
    </row>
    <row r="573" spans="11:11" ht="15.75" customHeight="1">
      <c r="K573" s="51"/>
    </row>
    <row r="574" spans="11:11" ht="15.75" customHeight="1">
      <c r="K574" s="51"/>
    </row>
    <row r="575" spans="11:11" ht="15.75" customHeight="1">
      <c r="K575" s="51"/>
    </row>
    <row r="576" spans="11:11" ht="15.75" customHeight="1">
      <c r="K576" s="51"/>
    </row>
    <row r="577" spans="11:11" ht="15.75" customHeight="1">
      <c r="K577" s="51"/>
    </row>
    <row r="578" spans="11:11" ht="15.75" customHeight="1">
      <c r="K578" s="51"/>
    </row>
    <row r="579" spans="11:11" ht="15.75" customHeight="1">
      <c r="K579" s="51"/>
    </row>
    <row r="580" spans="11:11" ht="15.75" customHeight="1">
      <c r="K580" s="51"/>
    </row>
    <row r="581" spans="11:11" ht="15.75" customHeight="1">
      <c r="K581" s="51"/>
    </row>
    <row r="582" spans="11:11" ht="15.75" customHeight="1">
      <c r="K582" s="51"/>
    </row>
    <row r="583" spans="11:11" ht="15.75" customHeight="1">
      <c r="K583" s="51"/>
    </row>
    <row r="584" spans="11:11" ht="15.75" customHeight="1">
      <c r="K584" s="51"/>
    </row>
    <row r="585" spans="11:11" ht="15.75" customHeight="1">
      <c r="K585" s="51"/>
    </row>
    <row r="586" spans="11:11" ht="15.75" customHeight="1">
      <c r="K586" s="51"/>
    </row>
    <row r="587" spans="11:11" ht="15.75" customHeight="1">
      <c r="K587" s="51"/>
    </row>
    <row r="588" spans="11:11" ht="15.75" customHeight="1">
      <c r="K588" s="51"/>
    </row>
    <row r="589" spans="11:11" ht="15.75" customHeight="1">
      <c r="K589" s="51"/>
    </row>
    <row r="590" spans="11:11" ht="15.75" customHeight="1">
      <c r="K590" s="51"/>
    </row>
    <row r="591" spans="11:11" ht="15.75" customHeight="1">
      <c r="K591" s="51"/>
    </row>
    <row r="592" spans="11:11" ht="15.75" customHeight="1">
      <c r="K592" s="51"/>
    </row>
    <row r="593" spans="11:11" ht="15.75" customHeight="1">
      <c r="K593" s="51"/>
    </row>
    <row r="594" spans="11:11" ht="15.75" customHeight="1">
      <c r="K594" s="51"/>
    </row>
    <row r="595" spans="11:11" ht="15.75" customHeight="1">
      <c r="K595" s="51"/>
    </row>
    <row r="596" spans="11:11" ht="15.75" customHeight="1">
      <c r="K596" s="51"/>
    </row>
    <row r="597" spans="11:11" ht="15.75" customHeight="1">
      <c r="K597" s="51"/>
    </row>
    <row r="598" spans="11:11" ht="15.75" customHeight="1">
      <c r="K598" s="51"/>
    </row>
    <row r="599" spans="11:11" ht="15.75" customHeight="1">
      <c r="K599" s="51"/>
    </row>
    <row r="600" spans="11:11" ht="15.75" customHeight="1">
      <c r="K600" s="51"/>
    </row>
    <row r="601" spans="11:11" ht="15.75" customHeight="1">
      <c r="K601" s="51"/>
    </row>
    <row r="602" spans="11:11" ht="15.75" customHeight="1">
      <c r="K602" s="51"/>
    </row>
    <row r="603" spans="11:11" ht="15.75" customHeight="1">
      <c r="K603" s="51"/>
    </row>
    <row r="604" spans="11:11" ht="15.75" customHeight="1">
      <c r="K604" s="51"/>
    </row>
    <row r="605" spans="11:11" ht="15.75" customHeight="1">
      <c r="K605" s="51"/>
    </row>
    <row r="606" spans="11:11" ht="15.75" customHeight="1">
      <c r="K606" s="51"/>
    </row>
    <row r="607" spans="11:11" ht="15.75" customHeight="1">
      <c r="K607" s="51"/>
    </row>
    <row r="608" spans="11:11" ht="15.75" customHeight="1">
      <c r="K608" s="51"/>
    </row>
    <row r="609" spans="11:11" ht="15.75" customHeight="1">
      <c r="K609" s="51"/>
    </row>
    <row r="610" spans="11:11" ht="15.75" customHeight="1">
      <c r="K610" s="51"/>
    </row>
    <row r="611" spans="11:11" ht="15.75" customHeight="1">
      <c r="K611" s="51"/>
    </row>
    <row r="612" spans="11:11" ht="15.75" customHeight="1">
      <c r="K612" s="51"/>
    </row>
    <row r="613" spans="11:11" ht="15.75" customHeight="1">
      <c r="K613" s="51"/>
    </row>
    <row r="614" spans="11:11" ht="15.75" customHeight="1">
      <c r="K614" s="51"/>
    </row>
    <row r="615" spans="11:11" ht="15.75" customHeight="1">
      <c r="K615" s="51"/>
    </row>
    <row r="616" spans="11:11" ht="15.75" customHeight="1">
      <c r="K616" s="51"/>
    </row>
    <row r="617" spans="11:11" ht="15.75" customHeight="1">
      <c r="K617" s="51"/>
    </row>
    <row r="618" spans="11:11" ht="15.75" customHeight="1">
      <c r="K618" s="51"/>
    </row>
    <row r="619" spans="11:11" ht="15.75" customHeight="1">
      <c r="K619" s="51"/>
    </row>
    <row r="620" spans="11:11" ht="15.75" customHeight="1">
      <c r="K620" s="51"/>
    </row>
    <row r="621" spans="11:11" ht="15.75" customHeight="1">
      <c r="K621" s="51"/>
    </row>
    <row r="622" spans="11:11" ht="15.75" customHeight="1">
      <c r="K622" s="51"/>
    </row>
    <row r="623" spans="11:11" ht="15.75" customHeight="1">
      <c r="K623" s="51"/>
    </row>
    <row r="624" spans="11:11" ht="15.75" customHeight="1">
      <c r="K624" s="51"/>
    </row>
    <row r="625" spans="11:11" ht="15.75" customHeight="1">
      <c r="K625" s="51"/>
    </row>
    <row r="626" spans="11:11" ht="15.75" customHeight="1">
      <c r="K626" s="51"/>
    </row>
    <row r="627" spans="11:11" ht="15.75" customHeight="1">
      <c r="K627" s="51"/>
    </row>
    <row r="628" spans="11:11" ht="15.75" customHeight="1">
      <c r="K628" s="51"/>
    </row>
    <row r="629" spans="11:11" ht="15.75" customHeight="1">
      <c r="K629" s="51"/>
    </row>
    <row r="630" spans="11:11" ht="15.75" customHeight="1">
      <c r="K630" s="51"/>
    </row>
    <row r="631" spans="11:11" ht="15.75" customHeight="1">
      <c r="K631" s="51"/>
    </row>
    <row r="632" spans="11:11" ht="15.75" customHeight="1">
      <c r="K632" s="51"/>
    </row>
    <row r="633" spans="11:11" ht="15.75" customHeight="1">
      <c r="K633" s="51"/>
    </row>
    <row r="634" spans="11:11" ht="15.75" customHeight="1">
      <c r="K634" s="51"/>
    </row>
    <row r="635" spans="11:11" ht="15.75" customHeight="1">
      <c r="K635" s="51"/>
    </row>
    <row r="636" spans="11:11" ht="15.75" customHeight="1">
      <c r="K636" s="51"/>
    </row>
    <row r="637" spans="11:11" ht="15.75" customHeight="1">
      <c r="K637" s="51"/>
    </row>
    <row r="638" spans="11:11" ht="15.75" customHeight="1">
      <c r="K638" s="51"/>
    </row>
    <row r="639" spans="11:11" ht="15.75" customHeight="1">
      <c r="K639" s="51"/>
    </row>
    <row r="640" spans="11:11" ht="15.75" customHeight="1">
      <c r="K640" s="51"/>
    </row>
    <row r="641" spans="11:11" ht="15.75" customHeight="1">
      <c r="K641" s="51"/>
    </row>
    <row r="642" spans="11:11" ht="15.75" customHeight="1">
      <c r="K642" s="51"/>
    </row>
    <row r="643" spans="11:11" ht="15.75" customHeight="1">
      <c r="K643" s="51"/>
    </row>
    <row r="644" spans="11:11" ht="15.75" customHeight="1">
      <c r="K644" s="51"/>
    </row>
    <row r="645" spans="11:11" ht="15.75" customHeight="1">
      <c r="K645" s="51"/>
    </row>
    <row r="646" spans="11:11" ht="15.75" customHeight="1">
      <c r="K646" s="51"/>
    </row>
    <row r="647" spans="11:11" ht="15.75" customHeight="1">
      <c r="K647" s="51"/>
    </row>
    <row r="648" spans="11:11" ht="15.75" customHeight="1">
      <c r="K648" s="51"/>
    </row>
    <row r="649" spans="11:11" ht="15.75" customHeight="1">
      <c r="K649" s="51"/>
    </row>
    <row r="650" spans="11:11" ht="15.75" customHeight="1">
      <c r="K650" s="51"/>
    </row>
    <row r="651" spans="11:11" ht="15.75" customHeight="1">
      <c r="K651" s="51"/>
    </row>
    <row r="652" spans="11:11" ht="15.75" customHeight="1">
      <c r="K652" s="51"/>
    </row>
    <row r="653" spans="11:11" ht="15.75" customHeight="1">
      <c r="K653" s="51"/>
    </row>
    <row r="654" spans="11:11" ht="15.75" customHeight="1">
      <c r="K654" s="51"/>
    </row>
    <row r="655" spans="11:11" ht="15.75" customHeight="1">
      <c r="K655" s="51"/>
    </row>
    <row r="656" spans="11:11" ht="15.75" customHeight="1">
      <c r="K656" s="51"/>
    </row>
    <row r="657" spans="11:11" ht="15.75" customHeight="1">
      <c r="K657" s="51"/>
    </row>
    <row r="658" spans="11:11" ht="15.75" customHeight="1">
      <c r="K658" s="51"/>
    </row>
    <row r="659" spans="11:11" ht="15.75" customHeight="1">
      <c r="K659" s="51"/>
    </row>
    <row r="660" spans="11:11" ht="15.75" customHeight="1">
      <c r="K660" s="51"/>
    </row>
    <row r="661" spans="11:11" ht="15.75" customHeight="1">
      <c r="K661" s="51"/>
    </row>
    <row r="662" spans="11:11" ht="15.75" customHeight="1">
      <c r="K662" s="51"/>
    </row>
    <row r="663" spans="11:11" ht="15.75" customHeight="1">
      <c r="K663" s="51"/>
    </row>
    <row r="664" spans="11:11" ht="15.75" customHeight="1">
      <c r="K664" s="51"/>
    </row>
    <row r="665" spans="11:11" ht="15.75" customHeight="1">
      <c r="K665" s="51"/>
    </row>
    <row r="666" spans="11:11" ht="15.75" customHeight="1">
      <c r="K666" s="51"/>
    </row>
    <row r="667" spans="11:11" ht="15.75" customHeight="1">
      <c r="K667" s="51"/>
    </row>
    <row r="668" spans="11:11" ht="15.75" customHeight="1">
      <c r="K668" s="51"/>
    </row>
    <row r="669" spans="11:11" ht="15.75" customHeight="1">
      <c r="K669" s="51"/>
    </row>
    <row r="670" spans="11:11" ht="15.75" customHeight="1">
      <c r="K670" s="51"/>
    </row>
    <row r="671" spans="11:11" ht="15.75" customHeight="1">
      <c r="K671" s="51"/>
    </row>
    <row r="672" spans="11:11" ht="15.75" customHeight="1">
      <c r="K672" s="51"/>
    </row>
    <row r="673" spans="11:11" ht="15.75" customHeight="1">
      <c r="K673" s="51"/>
    </row>
    <row r="674" spans="11:11" ht="15.75" customHeight="1">
      <c r="K674" s="51"/>
    </row>
    <row r="675" spans="11:11" ht="15.75" customHeight="1">
      <c r="K675" s="51"/>
    </row>
    <row r="676" spans="11:11" ht="15.75" customHeight="1">
      <c r="K676" s="51"/>
    </row>
    <row r="677" spans="11:11" ht="15.75" customHeight="1">
      <c r="K677" s="51"/>
    </row>
    <row r="678" spans="11:11" ht="15.75" customHeight="1">
      <c r="K678" s="51"/>
    </row>
    <row r="679" spans="11:11" ht="15.75" customHeight="1">
      <c r="K679" s="51"/>
    </row>
    <row r="680" spans="11:11" ht="15.75" customHeight="1">
      <c r="K680" s="51"/>
    </row>
    <row r="681" spans="11:11" ht="15.75" customHeight="1">
      <c r="K681" s="51"/>
    </row>
    <row r="682" spans="11:11" ht="15.75" customHeight="1">
      <c r="K682" s="51"/>
    </row>
    <row r="683" spans="11:11" ht="15.75" customHeight="1">
      <c r="K683" s="51"/>
    </row>
    <row r="684" spans="11:11" ht="15.75" customHeight="1">
      <c r="K684" s="51"/>
    </row>
    <row r="685" spans="11:11" ht="15.75" customHeight="1">
      <c r="K685" s="51"/>
    </row>
    <row r="686" spans="11:11" ht="15.75" customHeight="1">
      <c r="K686" s="51"/>
    </row>
    <row r="687" spans="11:11" ht="15.75" customHeight="1">
      <c r="K687" s="51"/>
    </row>
    <row r="688" spans="11:11" ht="15.75" customHeight="1">
      <c r="K688" s="51"/>
    </row>
    <row r="689" spans="11:11" ht="15.75" customHeight="1">
      <c r="K689" s="51"/>
    </row>
    <row r="690" spans="11:11" ht="15.75" customHeight="1">
      <c r="K690" s="51"/>
    </row>
    <row r="691" spans="11:11" ht="15.75" customHeight="1">
      <c r="K691" s="51"/>
    </row>
    <row r="692" spans="11:11" ht="15.75" customHeight="1">
      <c r="K692" s="51"/>
    </row>
    <row r="693" spans="11:11" ht="15.75" customHeight="1">
      <c r="K693" s="51"/>
    </row>
    <row r="694" spans="11:11" ht="15.75" customHeight="1">
      <c r="K694" s="51"/>
    </row>
    <row r="695" spans="11:11" ht="15.75" customHeight="1">
      <c r="K695" s="51"/>
    </row>
    <row r="696" spans="11:11" ht="15.75" customHeight="1">
      <c r="K696" s="51"/>
    </row>
    <row r="697" spans="11:11" ht="15.75" customHeight="1">
      <c r="K697" s="51"/>
    </row>
    <row r="698" spans="11:11" ht="15.75" customHeight="1">
      <c r="K698" s="51"/>
    </row>
    <row r="699" spans="11:11" ht="15.75" customHeight="1">
      <c r="K699" s="51"/>
    </row>
    <row r="700" spans="11:11" ht="15.75" customHeight="1">
      <c r="K700" s="51"/>
    </row>
    <row r="701" spans="11:11" ht="15.75" customHeight="1">
      <c r="K701" s="51"/>
    </row>
    <row r="702" spans="11:11" ht="15.75" customHeight="1">
      <c r="K702" s="51"/>
    </row>
    <row r="703" spans="11:11" ht="15.75" customHeight="1">
      <c r="K703" s="51"/>
    </row>
    <row r="704" spans="11:11" ht="15.75" customHeight="1">
      <c r="K704" s="51"/>
    </row>
    <row r="705" spans="11:11" ht="15.75" customHeight="1">
      <c r="K705" s="51"/>
    </row>
    <row r="706" spans="11:11" ht="15.75" customHeight="1">
      <c r="K706" s="51"/>
    </row>
    <row r="707" spans="11:11" ht="15.75" customHeight="1">
      <c r="K707" s="51"/>
    </row>
    <row r="708" spans="11:11" ht="15.75" customHeight="1">
      <c r="K708" s="51"/>
    </row>
    <row r="709" spans="11:11" ht="15.75" customHeight="1">
      <c r="K709" s="51"/>
    </row>
    <row r="710" spans="11:11" ht="15.75" customHeight="1">
      <c r="K710" s="51"/>
    </row>
    <row r="711" spans="11:11" ht="15.75" customHeight="1">
      <c r="K711" s="51"/>
    </row>
    <row r="712" spans="11:11" ht="15.75" customHeight="1">
      <c r="K712" s="51"/>
    </row>
    <row r="713" spans="11:11" ht="15.75" customHeight="1">
      <c r="K713" s="51"/>
    </row>
    <row r="714" spans="11:11" ht="15.75" customHeight="1">
      <c r="K714" s="51"/>
    </row>
    <row r="715" spans="11:11" ht="15.75" customHeight="1">
      <c r="K715" s="51"/>
    </row>
    <row r="716" spans="11:11" ht="15.75" customHeight="1">
      <c r="K716" s="51"/>
    </row>
    <row r="717" spans="11:11" ht="15.75" customHeight="1">
      <c r="K717" s="51"/>
    </row>
    <row r="718" spans="11:11" ht="15.75" customHeight="1">
      <c r="K718" s="51"/>
    </row>
    <row r="719" spans="11:11" ht="15.75" customHeight="1">
      <c r="K719" s="51"/>
    </row>
    <row r="720" spans="11:11" ht="15.75" customHeight="1">
      <c r="K720" s="51"/>
    </row>
    <row r="721" spans="11:11" ht="15.75" customHeight="1">
      <c r="K721" s="51"/>
    </row>
    <row r="722" spans="11:11" ht="15.75" customHeight="1">
      <c r="K722" s="51"/>
    </row>
    <row r="723" spans="11:11" ht="15.75" customHeight="1">
      <c r="K723" s="51"/>
    </row>
    <row r="724" spans="11:11" ht="15.75" customHeight="1">
      <c r="K724" s="51"/>
    </row>
    <row r="725" spans="11:11" ht="15.75" customHeight="1">
      <c r="K725" s="51"/>
    </row>
    <row r="726" spans="11:11" ht="15.75" customHeight="1">
      <c r="K726" s="51"/>
    </row>
    <row r="727" spans="11:11" ht="15.75" customHeight="1">
      <c r="K727" s="51"/>
    </row>
    <row r="728" spans="11:11" ht="15.75" customHeight="1">
      <c r="K728" s="51"/>
    </row>
    <row r="729" spans="11:11" ht="15.75" customHeight="1">
      <c r="K729" s="51"/>
    </row>
    <row r="730" spans="11:11" ht="15.75" customHeight="1">
      <c r="K730" s="51"/>
    </row>
    <row r="731" spans="11:11" ht="15.75" customHeight="1">
      <c r="K731" s="51"/>
    </row>
    <row r="732" spans="11:11" ht="15.75" customHeight="1">
      <c r="K732" s="51"/>
    </row>
    <row r="733" spans="11:11" ht="15.75" customHeight="1">
      <c r="K733" s="51"/>
    </row>
    <row r="734" spans="11:11" ht="15.75" customHeight="1">
      <c r="K734" s="51"/>
    </row>
    <row r="735" spans="11:11" ht="15.75" customHeight="1">
      <c r="K735" s="51"/>
    </row>
    <row r="736" spans="11:11" ht="15.75" customHeight="1">
      <c r="K736" s="51"/>
    </row>
    <row r="737" spans="11:11" ht="15.75" customHeight="1">
      <c r="K737" s="51"/>
    </row>
    <row r="738" spans="11:11" ht="15.75" customHeight="1">
      <c r="K738" s="51"/>
    </row>
    <row r="739" spans="11:11" ht="15.75" customHeight="1">
      <c r="K739" s="51"/>
    </row>
    <row r="740" spans="11:11" ht="15.75" customHeight="1">
      <c r="K740" s="51"/>
    </row>
    <row r="741" spans="11:11" ht="15.75" customHeight="1">
      <c r="K741" s="51"/>
    </row>
    <row r="742" spans="11:11" ht="15.75" customHeight="1">
      <c r="K742" s="51"/>
    </row>
    <row r="743" spans="11:11" ht="15.75" customHeight="1">
      <c r="K743" s="51"/>
    </row>
    <row r="744" spans="11:11" ht="15.75" customHeight="1">
      <c r="K744" s="51"/>
    </row>
    <row r="745" spans="11:11" ht="15.75" customHeight="1">
      <c r="K745" s="51"/>
    </row>
    <row r="746" spans="11:11" ht="15.75" customHeight="1">
      <c r="K746" s="51"/>
    </row>
    <row r="747" spans="11:11" ht="15.75" customHeight="1">
      <c r="K747" s="51"/>
    </row>
    <row r="748" spans="11:11" ht="15.75" customHeight="1">
      <c r="K748" s="51"/>
    </row>
    <row r="749" spans="11:11" ht="15.75" customHeight="1">
      <c r="K749" s="51"/>
    </row>
    <row r="750" spans="11:11" ht="15.75" customHeight="1">
      <c r="K750" s="51"/>
    </row>
    <row r="751" spans="11:11" ht="15.75" customHeight="1">
      <c r="K751" s="51"/>
    </row>
    <row r="752" spans="11:11" ht="15.75" customHeight="1">
      <c r="K752" s="51"/>
    </row>
    <row r="753" spans="11:11" ht="15.75" customHeight="1">
      <c r="K753" s="51"/>
    </row>
    <row r="754" spans="11:11" ht="15.75" customHeight="1">
      <c r="K754" s="51"/>
    </row>
    <row r="755" spans="11:11" ht="15.75" customHeight="1">
      <c r="K755" s="51"/>
    </row>
    <row r="756" spans="11:11" ht="15.75" customHeight="1">
      <c r="K756" s="51"/>
    </row>
    <row r="757" spans="11:11" ht="15.75" customHeight="1">
      <c r="K757" s="51"/>
    </row>
    <row r="758" spans="11:11" ht="15.75" customHeight="1">
      <c r="K758" s="51"/>
    </row>
    <row r="759" spans="11:11" ht="15.75" customHeight="1">
      <c r="K759" s="51"/>
    </row>
    <row r="760" spans="11:11" ht="15.75" customHeight="1">
      <c r="K760" s="51"/>
    </row>
    <row r="761" spans="11:11" ht="15.75" customHeight="1">
      <c r="K761" s="51"/>
    </row>
    <row r="762" spans="11:11" ht="15.75" customHeight="1">
      <c r="K762" s="51"/>
    </row>
    <row r="763" spans="11:11" ht="15.75" customHeight="1">
      <c r="K763" s="51"/>
    </row>
    <row r="764" spans="11:11" ht="15.75" customHeight="1">
      <c r="K764" s="51"/>
    </row>
    <row r="765" spans="11:11" ht="15.75" customHeight="1">
      <c r="K765" s="51"/>
    </row>
    <row r="766" spans="11:11" ht="15.75" customHeight="1">
      <c r="K766" s="51"/>
    </row>
    <row r="767" spans="11:11" ht="15.75" customHeight="1">
      <c r="K767" s="51"/>
    </row>
    <row r="768" spans="11:11" ht="15.75" customHeight="1">
      <c r="K768" s="51"/>
    </row>
    <row r="769" spans="11:11" ht="15.75" customHeight="1">
      <c r="K769" s="51"/>
    </row>
    <row r="770" spans="11:11" ht="15.75" customHeight="1">
      <c r="K770" s="51"/>
    </row>
    <row r="771" spans="11:11" ht="15.75" customHeight="1">
      <c r="K771" s="51"/>
    </row>
    <row r="772" spans="11:11" ht="15.75" customHeight="1">
      <c r="K772" s="51"/>
    </row>
    <row r="773" spans="11:11" ht="15.75" customHeight="1">
      <c r="K773" s="51"/>
    </row>
    <row r="774" spans="11:11" ht="15.75" customHeight="1">
      <c r="K774" s="51"/>
    </row>
    <row r="775" spans="11:11" ht="15.75" customHeight="1">
      <c r="K775" s="51"/>
    </row>
    <row r="776" spans="11:11" ht="15.75" customHeight="1">
      <c r="K776" s="51"/>
    </row>
    <row r="777" spans="11:11" ht="15.75" customHeight="1">
      <c r="K777" s="51"/>
    </row>
    <row r="778" spans="11:11" ht="15.75" customHeight="1">
      <c r="K778" s="51"/>
    </row>
    <row r="779" spans="11:11" ht="15.75" customHeight="1">
      <c r="K779" s="51"/>
    </row>
    <row r="780" spans="11:11" ht="15.75" customHeight="1">
      <c r="K780" s="51"/>
    </row>
    <row r="781" spans="11:11" ht="15.75" customHeight="1">
      <c r="K781" s="51"/>
    </row>
    <row r="782" spans="11:11" ht="15.75" customHeight="1">
      <c r="K782" s="51"/>
    </row>
    <row r="783" spans="11:11" ht="15.75" customHeight="1">
      <c r="K783" s="51"/>
    </row>
    <row r="784" spans="11:11" ht="15.75" customHeight="1">
      <c r="K784" s="51"/>
    </row>
    <row r="785" spans="11:11" ht="15.75" customHeight="1">
      <c r="K785" s="51"/>
    </row>
    <row r="786" spans="11:11" ht="15.75" customHeight="1">
      <c r="K786" s="51"/>
    </row>
    <row r="787" spans="11:11" ht="15.75" customHeight="1">
      <c r="K787" s="51"/>
    </row>
    <row r="788" spans="11:11" ht="15.75" customHeight="1">
      <c r="K788" s="51"/>
    </row>
    <row r="789" spans="11:11" ht="15.75" customHeight="1">
      <c r="K789" s="51"/>
    </row>
    <row r="790" spans="11:11" ht="15.75" customHeight="1">
      <c r="K790" s="51"/>
    </row>
    <row r="791" spans="11:11" ht="15.75" customHeight="1">
      <c r="K791" s="51"/>
    </row>
    <row r="792" spans="11:11" ht="15.75" customHeight="1">
      <c r="K792" s="51"/>
    </row>
    <row r="793" spans="11:11" ht="15.75" customHeight="1">
      <c r="K793" s="51"/>
    </row>
    <row r="794" spans="11:11" ht="15.75" customHeight="1">
      <c r="K794" s="51"/>
    </row>
    <row r="795" spans="11:11" ht="15.75" customHeight="1">
      <c r="K795" s="51"/>
    </row>
    <row r="796" spans="11:11" ht="15.75" customHeight="1">
      <c r="K796" s="51"/>
    </row>
    <row r="797" spans="11:11" ht="15.75" customHeight="1">
      <c r="K797" s="51"/>
    </row>
    <row r="798" spans="11:11" ht="15.75" customHeight="1">
      <c r="K798" s="51"/>
    </row>
    <row r="799" spans="11:11" ht="15.75" customHeight="1">
      <c r="K799" s="51"/>
    </row>
    <row r="800" spans="11:11" ht="15.75" customHeight="1">
      <c r="K800" s="51"/>
    </row>
    <row r="801" spans="11:11" ht="15.75" customHeight="1">
      <c r="K801" s="51"/>
    </row>
    <row r="802" spans="11:11" ht="15.75" customHeight="1">
      <c r="K802" s="51"/>
    </row>
    <row r="803" spans="11:11" ht="15.75" customHeight="1">
      <c r="K803" s="51"/>
    </row>
    <row r="804" spans="11:11" ht="15.75" customHeight="1">
      <c r="K804" s="51"/>
    </row>
    <row r="805" spans="11:11" ht="15.75" customHeight="1">
      <c r="K805" s="51"/>
    </row>
    <row r="806" spans="11:11" ht="15.75" customHeight="1">
      <c r="K806" s="51"/>
    </row>
    <row r="807" spans="11:11" ht="15.75" customHeight="1">
      <c r="K807" s="51"/>
    </row>
    <row r="808" spans="11:11" ht="15.75" customHeight="1">
      <c r="K808" s="51"/>
    </row>
    <row r="809" spans="11:11" ht="15.75" customHeight="1">
      <c r="K809" s="51"/>
    </row>
    <row r="810" spans="11:11" ht="15.75" customHeight="1">
      <c r="K810" s="51"/>
    </row>
    <row r="811" spans="11:11" ht="15.75" customHeight="1">
      <c r="K811" s="51"/>
    </row>
    <row r="812" spans="11:11" ht="15.75" customHeight="1">
      <c r="K812" s="51"/>
    </row>
    <row r="813" spans="11:11" ht="15.75" customHeight="1">
      <c r="K813" s="51"/>
    </row>
    <row r="814" spans="11:11" ht="15.75" customHeight="1">
      <c r="K814" s="51"/>
    </row>
    <row r="815" spans="11:11" ht="15.75" customHeight="1">
      <c r="K815" s="51"/>
    </row>
    <row r="816" spans="11:11" ht="15.75" customHeight="1">
      <c r="K816" s="51"/>
    </row>
    <row r="817" spans="11:11" ht="15.75" customHeight="1">
      <c r="K817" s="51"/>
    </row>
    <row r="818" spans="11:11" ht="15.75" customHeight="1">
      <c r="K818" s="51"/>
    </row>
    <row r="819" spans="11:11" ht="15.75" customHeight="1">
      <c r="K819" s="51"/>
    </row>
    <row r="820" spans="11:11" ht="15.75" customHeight="1">
      <c r="K820" s="51"/>
    </row>
    <row r="821" spans="11:11" ht="15.75" customHeight="1">
      <c r="K821" s="51"/>
    </row>
    <row r="822" spans="11:11" ht="15.75" customHeight="1">
      <c r="K822" s="51"/>
    </row>
    <row r="823" spans="11:11" ht="15.75" customHeight="1">
      <c r="K823" s="51"/>
    </row>
    <row r="824" spans="11:11" ht="15.75" customHeight="1">
      <c r="K824" s="51"/>
    </row>
    <row r="825" spans="11:11" ht="15.75" customHeight="1">
      <c r="K825" s="51"/>
    </row>
    <row r="826" spans="11:11" ht="15.75" customHeight="1">
      <c r="K826" s="51"/>
    </row>
    <row r="827" spans="11:11" ht="15.75" customHeight="1">
      <c r="K827" s="51"/>
    </row>
    <row r="828" spans="11:11" ht="15.75" customHeight="1">
      <c r="K828" s="51"/>
    </row>
    <row r="829" spans="11:11" ht="15.75" customHeight="1">
      <c r="K829" s="51"/>
    </row>
    <row r="830" spans="11:11" ht="15.75" customHeight="1">
      <c r="K830" s="51"/>
    </row>
    <row r="831" spans="11:11" ht="15.75" customHeight="1">
      <c r="K831" s="51"/>
    </row>
    <row r="832" spans="11:11" ht="15.75" customHeight="1">
      <c r="K832" s="51"/>
    </row>
    <row r="833" spans="11:11" ht="15.75" customHeight="1">
      <c r="K833" s="51"/>
    </row>
    <row r="834" spans="11:11" ht="15.75" customHeight="1">
      <c r="K834" s="51"/>
    </row>
    <row r="835" spans="11:11" ht="15.75" customHeight="1">
      <c r="K835" s="51"/>
    </row>
    <row r="836" spans="11:11" ht="15.75" customHeight="1">
      <c r="K836" s="51"/>
    </row>
    <row r="837" spans="11:11" ht="15.75" customHeight="1">
      <c r="K837" s="51"/>
    </row>
    <row r="838" spans="11:11" ht="15.75" customHeight="1">
      <c r="K838" s="51"/>
    </row>
    <row r="839" spans="11:11" ht="15.75" customHeight="1">
      <c r="K839" s="51"/>
    </row>
    <row r="840" spans="11:11" ht="15.75" customHeight="1">
      <c r="K840" s="51"/>
    </row>
    <row r="841" spans="11:11" ht="15.75" customHeight="1">
      <c r="K841" s="51"/>
    </row>
    <row r="842" spans="11:11" ht="15.75" customHeight="1">
      <c r="K842" s="51"/>
    </row>
    <row r="843" spans="11:11" ht="15.75" customHeight="1">
      <c r="K843" s="51"/>
    </row>
    <row r="844" spans="11:11" ht="15.75" customHeight="1">
      <c r="K844" s="51"/>
    </row>
    <row r="845" spans="11:11" ht="15.75" customHeight="1">
      <c r="K845" s="51"/>
    </row>
    <row r="846" spans="11:11" ht="15.75" customHeight="1">
      <c r="K846" s="51"/>
    </row>
    <row r="847" spans="11:11" ht="15.75" customHeight="1">
      <c r="K847" s="51"/>
    </row>
    <row r="848" spans="11:11" ht="15.75" customHeight="1">
      <c r="K848" s="51"/>
    </row>
    <row r="849" spans="11:11" ht="15.75" customHeight="1">
      <c r="K849" s="51"/>
    </row>
    <row r="850" spans="11:11" ht="15.75" customHeight="1">
      <c r="K850" s="51"/>
    </row>
    <row r="851" spans="11:11" ht="15.75" customHeight="1">
      <c r="K851" s="51"/>
    </row>
    <row r="852" spans="11:11" ht="15.75" customHeight="1">
      <c r="K852" s="51"/>
    </row>
    <row r="853" spans="11:11" ht="15.75" customHeight="1">
      <c r="K853" s="51"/>
    </row>
    <row r="854" spans="11:11" ht="15.75" customHeight="1">
      <c r="K854" s="51"/>
    </row>
    <row r="855" spans="11:11" ht="15.75" customHeight="1">
      <c r="K855" s="51"/>
    </row>
    <row r="856" spans="11:11" ht="15.75" customHeight="1">
      <c r="K856" s="51"/>
    </row>
    <row r="857" spans="11:11" ht="15.75" customHeight="1">
      <c r="K857" s="51"/>
    </row>
    <row r="858" spans="11:11" ht="15.75" customHeight="1">
      <c r="K858" s="51"/>
    </row>
    <row r="859" spans="11:11" ht="15.75" customHeight="1">
      <c r="K859" s="51"/>
    </row>
    <row r="860" spans="11:11" ht="15.75" customHeight="1">
      <c r="K860" s="51"/>
    </row>
    <row r="861" spans="11:11" ht="15.75" customHeight="1">
      <c r="K861" s="51"/>
    </row>
    <row r="862" spans="11:11" ht="15.75" customHeight="1">
      <c r="K862" s="51"/>
    </row>
    <row r="863" spans="11:11" ht="15.75" customHeight="1">
      <c r="K863" s="51"/>
    </row>
    <row r="864" spans="11:11" ht="15.75" customHeight="1">
      <c r="K864" s="51"/>
    </row>
    <row r="865" spans="11:11" ht="15.75" customHeight="1">
      <c r="K865" s="51"/>
    </row>
    <row r="866" spans="11:11" ht="15.75" customHeight="1">
      <c r="K866" s="51"/>
    </row>
    <row r="867" spans="11:11" ht="15.75" customHeight="1">
      <c r="K867" s="51"/>
    </row>
    <row r="868" spans="11:11" ht="15.75" customHeight="1">
      <c r="K868" s="51"/>
    </row>
    <row r="869" spans="11:11" ht="15.75" customHeight="1">
      <c r="K869" s="51"/>
    </row>
    <row r="870" spans="11:11" ht="15.75" customHeight="1">
      <c r="K870" s="51"/>
    </row>
    <row r="871" spans="11:11" ht="15.75" customHeight="1">
      <c r="K871" s="51"/>
    </row>
    <row r="872" spans="11:11" ht="15.75" customHeight="1">
      <c r="K872" s="51"/>
    </row>
    <row r="873" spans="11:11" ht="15.75" customHeight="1">
      <c r="K873" s="51"/>
    </row>
    <row r="874" spans="11:11" ht="15.75" customHeight="1">
      <c r="K874" s="51"/>
    </row>
    <row r="875" spans="11:11" ht="15.75" customHeight="1">
      <c r="K875" s="51"/>
    </row>
    <row r="876" spans="11:11" ht="15.75" customHeight="1">
      <c r="K876" s="51"/>
    </row>
    <row r="877" spans="11:11" ht="15.75" customHeight="1">
      <c r="K877" s="51"/>
    </row>
    <row r="878" spans="11:11" ht="15.75" customHeight="1">
      <c r="K878" s="51"/>
    </row>
    <row r="879" spans="11:11" ht="15.75" customHeight="1">
      <c r="K879" s="51"/>
    </row>
    <row r="880" spans="11:11" ht="15.75" customHeight="1">
      <c r="K880" s="51"/>
    </row>
    <row r="881" spans="11:11" ht="15.75" customHeight="1">
      <c r="K881" s="51"/>
    </row>
    <row r="882" spans="11:11" ht="15.75" customHeight="1">
      <c r="K882" s="51"/>
    </row>
    <row r="883" spans="11:11" ht="15.75" customHeight="1">
      <c r="K883" s="51"/>
    </row>
    <row r="884" spans="11:11" ht="15.75" customHeight="1">
      <c r="K884" s="51"/>
    </row>
    <row r="885" spans="11:11" ht="15.75" customHeight="1">
      <c r="K885" s="51"/>
    </row>
    <row r="886" spans="11:11" ht="15.75" customHeight="1">
      <c r="K886" s="51"/>
    </row>
    <row r="887" spans="11:11" ht="15.75" customHeight="1">
      <c r="K887" s="51"/>
    </row>
    <row r="888" spans="11:11" ht="15.75" customHeight="1">
      <c r="K888" s="51"/>
    </row>
    <row r="889" spans="11:11" ht="15.75" customHeight="1">
      <c r="K889" s="51"/>
    </row>
    <row r="890" spans="11:11" ht="15.75" customHeight="1">
      <c r="K890" s="51"/>
    </row>
    <row r="891" spans="11:11" ht="15.75" customHeight="1">
      <c r="K891" s="51"/>
    </row>
    <row r="892" spans="11:11" ht="15.75" customHeight="1">
      <c r="K892" s="51"/>
    </row>
    <row r="893" spans="11:11" ht="15.75" customHeight="1">
      <c r="K893" s="51"/>
    </row>
    <row r="894" spans="11:11" ht="15.75" customHeight="1">
      <c r="K894" s="51"/>
    </row>
    <row r="895" spans="11:11" ht="15.75" customHeight="1">
      <c r="K895" s="51"/>
    </row>
    <row r="896" spans="11:11" ht="15.75" customHeight="1">
      <c r="K896" s="51"/>
    </row>
    <row r="897" spans="11:11" ht="15.75" customHeight="1">
      <c r="K897" s="51"/>
    </row>
    <row r="898" spans="11:11" ht="15.75" customHeight="1">
      <c r="K898" s="51"/>
    </row>
    <row r="899" spans="11:11" ht="15.75" customHeight="1">
      <c r="K899" s="51"/>
    </row>
    <row r="900" spans="11:11" ht="15.75" customHeight="1">
      <c r="K900" s="51"/>
    </row>
    <row r="901" spans="11:11" ht="15.75" customHeight="1">
      <c r="K901" s="51"/>
    </row>
    <row r="902" spans="11:11" ht="15.75" customHeight="1">
      <c r="K902" s="51"/>
    </row>
    <row r="903" spans="11:11" ht="15.75" customHeight="1">
      <c r="K903" s="51"/>
    </row>
    <row r="904" spans="11:11" ht="15.75" customHeight="1">
      <c r="K904" s="51"/>
    </row>
    <row r="905" spans="11:11" ht="15.75" customHeight="1">
      <c r="K905" s="51"/>
    </row>
    <row r="906" spans="11:11" ht="15.75" customHeight="1">
      <c r="K906" s="51"/>
    </row>
    <row r="907" spans="11:11" ht="15.75" customHeight="1">
      <c r="K907" s="51"/>
    </row>
    <row r="908" spans="11:11" ht="15.75" customHeight="1">
      <c r="K908" s="51"/>
    </row>
    <row r="909" spans="11:11" ht="15.75" customHeight="1">
      <c r="K909" s="51"/>
    </row>
    <row r="910" spans="11:11" ht="15.75" customHeight="1">
      <c r="K910" s="51"/>
    </row>
    <row r="911" spans="11:11" ht="15.75" customHeight="1">
      <c r="K911" s="51"/>
    </row>
    <row r="912" spans="11:11" ht="15.75" customHeight="1">
      <c r="K912" s="51"/>
    </row>
    <row r="913" spans="11:11" ht="15.75" customHeight="1">
      <c r="K913" s="51"/>
    </row>
    <row r="914" spans="11:11" ht="15.75" customHeight="1">
      <c r="K914" s="51"/>
    </row>
    <row r="915" spans="11:11" ht="15.75" customHeight="1">
      <c r="K915" s="51"/>
    </row>
    <row r="916" spans="11:11" ht="15.75" customHeight="1">
      <c r="K916" s="51"/>
    </row>
    <row r="917" spans="11:11" ht="15.75" customHeight="1">
      <c r="K917" s="51"/>
    </row>
    <row r="918" spans="11:11" ht="15.75" customHeight="1">
      <c r="K918" s="51"/>
    </row>
    <row r="919" spans="11:11" ht="15.75" customHeight="1">
      <c r="K919" s="51"/>
    </row>
    <row r="920" spans="11:11" ht="15.75" customHeight="1">
      <c r="K920" s="51"/>
    </row>
    <row r="921" spans="11:11" ht="15.75" customHeight="1">
      <c r="K921" s="51"/>
    </row>
    <row r="922" spans="11:11" ht="15.75" customHeight="1">
      <c r="K922" s="51"/>
    </row>
    <row r="923" spans="11:11" ht="15.75" customHeight="1">
      <c r="K923" s="51"/>
    </row>
    <row r="924" spans="11:11" ht="15.75" customHeight="1">
      <c r="K924" s="51"/>
    </row>
    <row r="925" spans="11:11" ht="15.75" customHeight="1">
      <c r="K925" s="51"/>
    </row>
    <row r="926" spans="11:11" ht="15.75" customHeight="1">
      <c r="K926" s="51"/>
    </row>
    <row r="927" spans="11:11" ht="15.75" customHeight="1">
      <c r="K927" s="51"/>
    </row>
    <row r="928" spans="11:11" ht="15.75" customHeight="1">
      <c r="K928" s="51"/>
    </row>
    <row r="929" spans="11:11" ht="15.75" customHeight="1">
      <c r="K929" s="51"/>
    </row>
    <row r="930" spans="11:11" ht="15.75" customHeight="1">
      <c r="K930" s="51"/>
    </row>
    <row r="931" spans="11:11" ht="15.75" customHeight="1">
      <c r="K931" s="51"/>
    </row>
    <row r="932" spans="11:11" ht="15.75" customHeight="1">
      <c r="K932" s="51"/>
    </row>
    <row r="933" spans="11:11" ht="15.75" customHeight="1">
      <c r="K933" s="51"/>
    </row>
    <row r="934" spans="11:11" ht="15.75" customHeight="1">
      <c r="K934" s="51"/>
    </row>
    <row r="935" spans="11:11" ht="15.75" customHeight="1">
      <c r="K935" s="51"/>
    </row>
    <row r="936" spans="11:11" ht="15.75" customHeight="1">
      <c r="K936" s="51"/>
    </row>
    <row r="937" spans="11:11" ht="15.75" customHeight="1">
      <c r="K937" s="51"/>
    </row>
    <row r="938" spans="11:11" ht="15.75" customHeight="1">
      <c r="K938" s="51"/>
    </row>
    <row r="939" spans="11:11" ht="15.75" customHeight="1">
      <c r="K939" s="51"/>
    </row>
    <row r="940" spans="11:11" ht="15.75" customHeight="1">
      <c r="K940" s="51"/>
    </row>
    <row r="941" spans="11:11" ht="15.75" customHeight="1">
      <c r="K941" s="51"/>
    </row>
    <row r="942" spans="11:11" ht="15.75" customHeight="1">
      <c r="K942" s="51"/>
    </row>
    <row r="943" spans="11:11" ht="15.75" customHeight="1">
      <c r="K943" s="51"/>
    </row>
    <row r="944" spans="11:11" ht="15.75" customHeight="1">
      <c r="K944" s="51"/>
    </row>
    <row r="945" spans="11:11" ht="15.75" customHeight="1">
      <c r="K945" s="51"/>
    </row>
    <row r="946" spans="11:11" ht="15.75" customHeight="1">
      <c r="K946" s="51"/>
    </row>
    <row r="947" spans="11:11" ht="15.75" customHeight="1">
      <c r="K947" s="51"/>
    </row>
    <row r="948" spans="11:11" ht="15.75" customHeight="1">
      <c r="K948" s="51"/>
    </row>
    <row r="949" spans="11:11" ht="15.75" customHeight="1">
      <c r="K949" s="51"/>
    </row>
    <row r="950" spans="11:11" ht="15.75" customHeight="1">
      <c r="K950" s="51"/>
    </row>
    <row r="951" spans="11:11" ht="15.75" customHeight="1">
      <c r="K951" s="51"/>
    </row>
    <row r="952" spans="11:11" ht="15.75" customHeight="1">
      <c r="K952" s="51"/>
    </row>
    <row r="953" spans="11:11" ht="15.75" customHeight="1">
      <c r="K953" s="51"/>
    </row>
    <row r="954" spans="11:11" ht="15.75" customHeight="1">
      <c r="K954" s="51"/>
    </row>
    <row r="955" spans="11:11" ht="15.75" customHeight="1">
      <c r="K955" s="51"/>
    </row>
    <row r="956" spans="11:11" ht="15.75" customHeight="1">
      <c r="K956" s="51"/>
    </row>
    <row r="957" spans="11:11" ht="15.75" customHeight="1">
      <c r="K957" s="51"/>
    </row>
    <row r="958" spans="11:11" ht="15.75" customHeight="1">
      <c r="K958" s="51"/>
    </row>
    <row r="959" spans="11:11" ht="15.75" customHeight="1">
      <c r="K959" s="51"/>
    </row>
    <row r="960" spans="11:11" ht="15.75" customHeight="1">
      <c r="K960" s="51"/>
    </row>
    <row r="961" spans="11:11" ht="15.75" customHeight="1">
      <c r="K961" s="51"/>
    </row>
    <row r="962" spans="11:11" ht="15.75" customHeight="1">
      <c r="K962" s="51"/>
    </row>
    <row r="963" spans="11:11" ht="15.75" customHeight="1">
      <c r="K963" s="51"/>
    </row>
    <row r="964" spans="11:11" ht="15.75" customHeight="1">
      <c r="K964" s="51"/>
    </row>
    <row r="965" spans="11:11" ht="15.75" customHeight="1">
      <c r="K965" s="51"/>
    </row>
    <row r="966" spans="11:11" ht="15.75" customHeight="1">
      <c r="K966" s="51"/>
    </row>
    <row r="967" spans="11:11" ht="15.75" customHeight="1">
      <c r="K967" s="51"/>
    </row>
    <row r="968" spans="11:11" ht="15.75" customHeight="1">
      <c r="K968" s="51"/>
    </row>
    <row r="969" spans="11:11" ht="15.75" customHeight="1">
      <c r="K969" s="51"/>
    </row>
    <row r="970" spans="11:11" ht="15.75" customHeight="1">
      <c r="K970" s="51"/>
    </row>
    <row r="971" spans="11:11" ht="15.75" customHeight="1">
      <c r="K971" s="51"/>
    </row>
    <row r="972" spans="11:11" ht="15.75" customHeight="1">
      <c r="K972" s="51"/>
    </row>
    <row r="973" spans="11:11" ht="15.75" customHeight="1">
      <c r="K973" s="51"/>
    </row>
    <row r="974" spans="11:11" ht="15.75" customHeight="1">
      <c r="K974" s="51"/>
    </row>
    <row r="975" spans="11:11" ht="15.75" customHeight="1">
      <c r="K975" s="51"/>
    </row>
    <row r="976" spans="11:11" ht="15.75" customHeight="1">
      <c r="K976" s="51"/>
    </row>
    <row r="977" spans="11:11" ht="15.75" customHeight="1">
      <c r="K977" s="51"/>
    </row>
    <row r="978" spans="11:11" ht="15.75" customHeight="1">
      <c r="K978" s="51"/>
    </row>
    <row r="979" spans="11:11" ht="15.75" customHeight="1">
      <c r="K979" s="51"/>
    </row>
    <row r="980" spans="11:11" ht="15.75" customHeight="1">
      <c r="K980" s="51"/>
    </row>
    <row r="981" spans="11:11" ht="15.75" customHeight="1">
      <c r="K981" s="51"/>
    </row>
    <row r="982" spans="11:11" ht="15.75" customHeight="1">
      <c r="K982" s="51"/>
    </row>
    <row r="983" spans="11:11" ht="15.75" customHeight="1">
      <c r="K983" s="51"/>
    </row>
    <row r="984" spans="11:11" ht="15.75" customHeight="1">
      <c r="K984" s="51"/>
    </row>
    <row r="985" spans="11:11" ht="15.75" customHeight="1">
      <c r="K985" s="51"/>
    </row>
    <row r="986" spans="11:11" ht="15.75" customHeight="1">
      <c r="K986" s="51"/>
    </row>
    <row r="987" spans="11:11" ht="15.75" customHeight="1">
      <c r="K987" s="51"/>
    </row>
    <row r="988" spans="11:11" ht="15.75" customHeight="1">
      <c r="K988" s="51"/>
    </row>
    <row r="989" spans="11:11" ht="15.75" customHeight="1">
      <c r="K989" s="51"/>
    </row>
    <row r="990" spans="11:11" ht="15.75" customHeight="1">
      <c r="K990" s="51"/>
    </row>
    <row r="991" spans="11:11" ht="15.75" customHeight="1">
      <c r="K991" s="51"/>
    </row>
    <row r="992" spans="11:11" ht="15.75" customHeight="1">
      <c r="K992" s="51"/>
    </row>
    <row r="993" spans="11:11" ht="15.75" customHeight="1">
      <c r="K993" s="51"/>
    </row>
    <row r="994" spans="11:11" ht="15.75" customHeight="1">
      <c r="K994" s="51"/>
    </row>
    <row r="995" spans="11:11" ht="15.75" customHeight="1">
      <c r="K995" s="51"/>
    </row>
    <row r="996" spans="11:11" ht="15.75" customHeight="1">
      <c r="K996" s="51"/>
    </row>
    <row r="997" spans="11:11" ht="15.75" customHeight="1">
      <c r="K997" s="51"/>
    </row>
    <row r="998" spans="11:11" ht="15.75" customHeight="1">
      <c r="K998" s="51"/>
    </row>
    <row r="999" spans="11:11" ht="15.75" customHeight="1">
      <c r="K999" s="51"/>
    </row>
    <row r="1000" spans="11:11" ht="15.75" customHeight="1">
      <c r="K1000" s="51"/>
    </row>
    <row r="1001" spans="11:11" ht="15.75" customHeight="1">
      <c r="K1001" s="51"/>
    </row>
    <row r="1002" spans="11:11" ht="15.75" customHeight="1">
      <c r="K1002" s="51"/>
    </row>
    <row r="1003" spans="11:11" ht="15.75" customHeight="1">
      <c r="K1003" s="51"/>
    </row>
    <row r="1004" spans="11:11" ht="15.75" customHeight="1">
      <c r="K1004" s="51"/>
    </row>
    <row r="1005" spans="11:11" ht="15.75" customHeight="1">
      <c r="K1005" s="51"/>
    </row>
    <row r="1006" spans="11:11" ht="15.75" customHeight="1">
      <c r="K1006" s="51"/>
    </row>
    <row r="1007" spans="11:11" ht="15.75" customHeight="1">
      <c r="K1007" s="51"/>
    </row>
    <row r="1008" spans="11:11" ht="15.75" customHeight="1">
      <c r="K1008" s="51"/>
    </row>
    <row r="1009" spans="11:11" ht="15.75" customHeight="1">
      <c r="K1009" s="51"/>
    </row>
    <row r="1010" spans="11:11" ht="15.75" customHeight="1">
      <c r="K1010" s="51"/>
    </row>
    <row r="1011" spans="11:11" ht="15.75" customHeight="1">
      <c r="K1011" s="51"/>
    </row>
    <row r="1012" spans="11:11" ht="15.75" customHeight="1">
      <c r="K1012" s="51"/>
    </row>
    <row r="1013" spans="11:11" ht="15.75" customHeight="1">
      <c r="K1013" s="51"/>
    </row>
    <row r="1014" spans="11:11" ht="15.75" customHeight="1">
      <c r="K1014" s="51"/>
    </row>
    <row r="1015" spans="11:11" ht="15.75" customHeight="1">
      <c r="K1015" s="51"/>
    </row>
    <row r="1016" spans="11:11" ht="15.75" customHeight="1">
      <c r="K1016" s="51"/>
    </row>
    <row r="1017" spans="11:11" ht="15.75" customHeight="1">
      <c r="K1017" s="51"/>
    </row>
    <row r="1018" spans="11:11" ht="15.75" customHeight="1">
      <c r="K1018" s="51"/>
    </row>
    <row r="1019" spans="11:11" ht="15.75" customHeight="1">
      <c r="K1019" s="51"/>
    </row>
    <row r="1020" spans="11:11" ht="15.75" customHeight="1">
      <c r="K1020" s="51"/>
    </row>
    <row r="1021" spans="11:11" ht="15.75" customHeight="1">
      <c r="K1021" s="5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38"/>
  <sheetViews>
    <sheetView workbookViewId="0"/>
  </sheetViews>
  <sheetFormatPr defaultColWidth="12.59765625" defaultRowHeight="15.75" customHeight="1"/>
  <sheetData>
    <row r="1" spans="1:26" ht="15.75" customHeight="1">
      <c r="A1" s="1" t="s">
        <v>370</v>
      </c>
      <c r="B1" s="1"/>
      <c r="C1" s="1"/>
      <c r="D1" s="1"/>
      <c r="E1" s="1"/>
      <c r="F1" s="1"/>
      <c r="G1" s="1"/>
      <c r="H1" s="1"/>
      <c r="I1" s="1"/>
      <c r="J1" s="1"/>
      <c r="K1" s="8"/>
      <c r="L1" s="1"/>
      <c r="M1" s="29"/>
      <c r="N1" s="29"/>
      <c r="O1" s="29"/>
      <c r="P1" s="29"/>
      <c r="Q1" s="29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1"/>
      <c r="B2" s="2" t="s">
        <v>370</v>
      </c>
      <c r="C2" s="2" t="s">
        <v>405</v>
      </c>
      <c r="D2" s="2" t="s">
        <v>406</v>
      </c>
      <c r="E2" s="2" t="s">
        <v>407</v>
      </c>
      <c r="F2" s="2" t="s">
        <v>408</v>
      </c>
      <c r="G2" s="2" t="s">
        <v>409</v>
      </c>
      <c r="H2" s="2" t="s">
        <v>410</v>
      </c>
      <c r="I2" s="2" t="s">
        <v>411</v>
      </c>
      <c r="J2" s="2" t="s">
        <v>412</v>
      </c>
      <c r="K2" s="8"/>
      <c r="L2" s="27"/>
      <c r="M2" s="30" t="s">
        <v>413</v>
      </c>
      <c r="N2" s="30" t="s">
        <v>414</v>
      </c>
      <c r="O2" s="30" t="s">
        <v>415</v>
      </c>
      <c r="P2" s="30" t="s">
        <v>416</v>
      </c>
      <c r="Q2" s="39" t="s">
        <v>417</v>
      </c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>
      <c r="A3" s="3" t="s">
        <v>418</v>
      </c>
      <c r="B3" s="1" t="s">
        <v>418</v>
      </c>
      <c r="C3" s="4" t="s">
        <v>419</v>
      </c>
      <c r="D3" s="4">
        <v>15000</v>
      </c>
      <c r="E3" s="14">
        <v>55</v>
      </c>
      <c r="F3" s="14" t="s">
        <v>420</v>
      </c>
      <c r="G3" s="15">
        <f t="shared" ref="G3:G8" si="0">D3/E3</f>
        <v>272.72727272727298</v>
      </c>
      <c r="H3" s="14">
        <v>3000</v>
      </c>
      <c r="I3" s="14">
        <v>600000</v>
      </c>
      <c r="J3" s="14">
        <f t="shared" ref="J3:J8" si="1">I3*E3</f>
        <v>33000000</v>
      </c>
      <c r="K3" s="8"/>
      <c r="L3" s="28" t="s">
        <v>421</v>
      </c>
      <c r="M3" s="31">
        <v>5000000</v>
      </c>
      <c r="N3" s="31">
        <v>6700000</v>
      </c>
      <c r="O3" s="32">
        <v>8700000</v>
      </c>
      <c r="P3" s="33">
        <v>15400000</v>
      </c>
      <c r="Q3" s="33">
        <v>17400000</v>
      </c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>
      <c r="A4" s="3" t="s">
        <v>422</v>
      </c>
      <c r="B4" s="1" t="s">
        <v>422</v>
      </c>
      <c r="C4" s="4" t="s">
        <v>423</v>
      </c>
      <c r="D4" s="5">
        <v>35000</v>
      </c>
      <c r="E4" s="16">
        <v>85</v>
      </c>
      <c r="F4" s="14" t="s">
        <v>420</v>
      </c>
      <c r="G4" s="17">
        <f t="shared" si="0"/>
        <v>411.76470588235298</v>
      </c>
      <c r="H4" s="14">
        <v>3000</v>
      </c>
      <c r="I4" s="14">
        <v>600000</v>
      </c>
      <c r="J4" s="14">
        <f t="shared" si="1"/>
        <v>51000000</v>
      </c>
      <c r="K4" s="8"/>
      <c r="L4" s="28" t="s">
        <v>424</v>
      </c>
      <c r="M4" s="34">
        <v>5000000</v>
      </c>
      <c r="N4" s="35">
        <v>6700000</v>
      </c>
      <c r="O4" s="34">
        <v>9000000</v>
      </c>
      <c r="P4" s="36"/>
      <c r="Q4" s="36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>
      <c r="A5" s="3" t="s">
        <v>425</v>
      </c>
      <c r="B5" s="1" t="s">
        <v>425</v>
      </c>
      <c r="C5" s="4" t="s">
        <v>426</v>
      </c>
      <c r="D5" s="5">
        <v>35000</v>
      </c>
      <c r="E5" s="16">
        <v>95</v>
      </c>
      <c r="F5" s="16" t="s">
        <v>427</v>
      </c>
      <c r="G5" s="17">
        <f t="shared" si="0"/>
        <v>368.42105263157902</v>
      </c>
      <c r="H5" s="14">
        <v>3000</v>
      </c>
      <c r="I5" s="14">
        <v>600000</v>
      </c>
      <c r="J5" s="14">
        <f t="shared" si="1"/>
        <v>57000000</v>
      </c>
      <c r="K5" s="8"/>
      <c r="L5" s="28" t="s">
        <v>428</v>
      </c>
      <c r="M5" s="36"/>
      <c r="N5" s="35">
        <f t="shared" ref="N5:O5" si="2">N4*8%</f>
        <v>536000</v>
      </c>
      <c r="O5" s="35">
        <f t="shared" si="2"/>
        <v>720000</v>
      </c>
      <c r="P5" s="34">
        <f>O5+N5</f>
        <v>1256000</v>
      </c>
      <c r="Q5" s="34">
        <f>O5*2</f>
        <v>1440000</v>
      </c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>
      <c r="A6" s="3" t="s">
        <v>416</v>
      </c>
      <c r="B6" s="1" t="s">
        <v>429</v>
      </c>
      <c r="C6" s="5" t="s">
        <v>430</v>
      </c>
      <c r="D6" s="5">
        <v>35000</v>
      </c>
      <c r="E6" s="16">
        <v>130</v>
      </c>
      <c r="F6" s="16" t="s">
        <v>427</v>
      </c>
      <c r="G6" s="17">
        <f t="shared" si="0"/>
        <v>269.230769230769</v>
      </c>
      <c r="H6" s="14">
        <v>3000</v>
      </c>
      <c r="I6" s="14">
        <v>600000</v>
      </c>
      <c r="J6" s="14">
        <f t="shared" si="1"/>
        <v>78000000</v>
      </c>
      <c r="K6" s="8"/>
      <c r="L6" s="27"/>
      <c r="M6" s="36"/>
      <c r="N6" s="36"/>
      <c r="O6" s="36"/>
      <c r="P6" s="36"/>
      <c r="Q6" s="36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3" t="s">
        <v>417</v>
      </c>
      <c r="B7" s="1" t="s">
        <v>431</v>
      </c>
      <c r="C7" s="6" t="s">
        <v>432</v>
      </c>
      <c r="D7" s="5">
        <v>35000</v>
      </c>
      <c r="E7" s="16">
        <v>160</v>
      </c>
      <c r="F7" s="16" t="s">
        <v>427</v>
      </c>
      <c r="G7" s="17">
        <f t="shared" si="0"/>
        <v>218.75</v>
      </c>
      <c r="H7" s="14">
        <v>3000</v>
      </c>
      <c r="I7" s="14">
        <v>600000</v>
      </c>
      <c r="J7" s="14">
        <f t="shared" si="1"/>
        <v>96000000</v>
      </c>
      <c r="K7" s="8"/>
      <c r="L7" s="27"/>
      <c r="M7" s="36"/>
      <c r="N7" s="36"/>
      <c r="O7" s="36"/>
      <c r="P7" s="36"/>
      <c r="Q7" s="36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>
      <c r="A8" s="1"/>
      <c r="B8" s="1" t="s">
        <v>417</v>
      </c>
      <c r="C8" s="7"/>
      <c r="D8" s="5">
        <v>32000</v>
      </c>
      <c r="E8" s="18">
        <v>190</v>
      </c>
      <c r="F8" s="16" t="s">
        <v>427</v>
      </c>
      <c r="G8" s="17">
        <f t="shared" si="0"/>
        <v>168.42105263157899</v>
      </c>
      <c r="H8" s="14">
        <v>3000</v>
      </c>
      <c r="I8" s="14">
        <v>500000</v>
      </c>
      <c r="J8" s="14">
        <f t="shared" si="1"/>
        <v>95000000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>
      <c r="A10" s="8" t="s">
        <v>433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2" t="s">
        <v>434</v>
      </c>
      <c r="B11" s="9" t="s">
        <v>435</v>
      </c>
      <c r="C11" s="9" t="s">
        <v>436</v>
      </c>
      <c r="D11" s="9" t="s">
        <v>437</v>
      </c>
      <c r="E11" s="9" t="s">
        <v>438</v>
      </c>
      <c r="F11" s="9" t="s">
        <v>439</v>
      </c>
      <c r="G11" s="9" t="s">
        <v>440</v>
      </c>
      <c r="H11" s="9" t="s">
        <v>159</v>
      </c>
      <c r="I11" s="9" t="s">
        <v>161</v>
      </c>
      <c r="J11" s="9" t="s">
        <v>441</v>
      </c>
      <c r="K11" s="9" t="s">
        <v>442</v>
      </c>
      <c r="L11" s="9" t="s">
        <v>443</v>
      </c>
      <c r="M11" s="9" t="s">
        <v>444</v>
      </c>
      <c r="N11" s="9" t="s">
        <v>445</v>
      </c>
      <c r="O11" s="9" t="s">
        <v>446</v>
      </c>
      <c r="P11" s="37" t="s">
        <v>447</v>
      </c>
      <c r="Q11" s="9" t="s">
        <v>139</v>
      </c>
      <c r="R11" s="9" t="s">
        <v>410</v>
      </c>
      <c r="S11" s="9" t="s">
        <v>411</v>
      </c>
      <c r="T11" s="9" t="s">
        <v>412</v>
      </c>
      <c r="U11" s="8"/>
      <c r="V11" s="8"/>
      <c r="W11" s="8"/>
      <c r="X11" s="8"/>
      <c r="Y11" s="8"/>
      <c r="Z11" s="8"/>
    </row>
    <row r="12" spans="1:26" ht="15.75" customHeight="1">
      <c r="A12" s="10" t="s">
        <v>418</v>
      </c>
      <c r="B12" s="4" t="s">
        <v>448</v>
      </c>
      <c r="C12" s="4">
        <v>55</v>
      </c>
      <c r="D12" s="11" t="s">
        <v>449</v>
      </c>
      <c r="E12" s="19">
        <v>1100</v>
      </c>
      <c r="F12" s="20">
        <v>500</v>
      </c>
      <c r="G12" s="19">
        <v>400</v>
      </c>
      <c r="H12" s="11">
        <v>500</v>
      </c>
      <c r="I12" s="4">
        <v>500</v>
      </c>
      <c r="J12" s="4">
        <f t="shared" ref="J12:J16" si="3">10*C12+50</f>
        <v>600</v>
      </c>
      <c r="K12" s="4" t="s">
        <v>450</v>
      </c>
      <c r="L12" s="4">
        <v>30</v>
      </c>
      <c r="M12" s="4">
        <v>50</v>
      </c>
      <c r="N12" s="4">
        <v>100</v>
      </c>
      <c r="O12" s="4">
        <v>0</v>
      </c>
      <c r="P12" s="11">
        <v>50</v>
      </c>
      <c r="Q12" s="38">
        <f t="shared" ref="Q12:Q16" si="4">SUM(E12:O12)</f>
        <v>3780</v>
      </c>
      <c r="R12" s="11">
        <v>3000</v>
      </c>
      <c r="S12" s="11">
        <v>600000</v>
      </c>
      <c r="T12" s="11">
        <v>33000000</v>
      </c>
      <c r="U12" s="8"/>
      <c r="V12" s="8"/>
      <c r="W12" s="8"/>
      <c r="X12" s="8"/>
      <c r="Y12" s="8"/>
      <c r="Z12" s="8"/>
    </row>
    <row r="13" spans="1:26" ht="15.75" customHeight="1">
      <c r="A13" s="3" t="s">
        <v>422</v>
      </c>
      <c r="B13" s="4" t="s">
        <v>451</v>
      </c>
      <c r="C13" s="4">
        <v>85</v>
      </c>
      <c r="D13" s="11" t="s">
        <v>452</v>
      </c>
      <c r="E13" s="19">
        <v>1200</v>
      </c>
      <c r="F13" s="20">
        <v>500</v>
      </c>
      <c r="G13" s="19">
        <v>400</v>
      </c>
      <c r="H13" s="11">
        <v>500</v>
      </c>
      <c r="I13" s="4">
        <v>500</v>
      </c>
      <c r="J13" s="4">
        <f t="shared" si="3"/>
        <v>900</v>
      </c>
      <c r="K13" s="4" t="s">
        <v>450</v>
      </c>
      <c r="L13" s="4">
        <v>30</v>
      </c>
      <c r="M13" s="4">
        <v>50</v>
      </c>
      <c r="N13" s="4">
        <v>100</v>
      </c>
      <c r="O13" s="4">
        <v>0</v>
      </c>
      <c r="P13" s="11">
        <v>50</v>
      </c>
      <c r="Q13" s="38">
        <f t="shared" si="4"/>
        <v>4180</v>
      </c>
      <c r="R13" s="11">
        <v>3000</v>
      </c>
      <c r="S13" s="11">
        <v>600000</v>
      </c>
      <c r="T13" s="11">
        <v>51000000</v>
      </c>
      <c r="U13" s="8"/>
      <c r="V13" s="8"/>
      <c r="W13" s="8"/>
      <c r="X13" s="8"/>
      <c r="Y13" s="8"/>
      <c r="Z13" s="8"/>
    </row>
    <row r="14" spans="1:26" ht="15.75" customHeight="1">
      <c r="A14" s="10" t="s">
        <v>425</v>
      </c>
      <c r="B14" s="4" t="s">
        <v>451</v>
      </c>
      <c r="C14" s="4">
        <v>100</v>
      </c>
      <c r="D14" s="4" t="s">
        <v>453</v>
      </c>
      <c r="E14" s="19">
        <v>1300</v>
      </c>
      <c r="F14" s="20">
        <v>500</v>
      </c>
      <c r="G14" s="19">
        <v>400</v>
      </c>
      <c r="H14" s="11">
        <v>500</v>
      </c>
      <c r="I14" s="4">
        <v>500</v>
      </c>
      <c r="J14" s="4">
        <f t="shared" si="3"/>
        <v>1050</v>
      </c>
      <c r="K14" s="4" t="s">
        <v>450</v>
      </c>
      <c r="L14" s="4">
        <v>30</v>
      </c>
      <c r="M14" s="4">
        <v>50</v>
      </c>
      <c r="N14" s="4">
        <v>100</v>
      </c>
      <c r="O14" s="4">
        <v>0</v>
      </c>
      <c r="P14" s="11">
        <v>50</v>
      </c>
      <c r="Q14" s="38">
        <f t="shared" si="4"/>
        <v>4430</v>
      </c>
      <c r="R14" s="11">
        <v>3000</v>
      </c>
      <c r="S14" s="11">
        <v>600000</v>
      </c>
      <c r="T14" s="11">
        <v>60000000</v>
      </c>
      <c r="U14" s="8"/>
      <c r="V14" s="8"/>
      <c r="W14" s="8"/>
      <c r="X14" s="8"/>
      <c r="Y14" s="8"/>
      <c r="Z14" s="8"/>
    </row>
    <row r="15" spans="1:26" ht="15.75" customHeight="1">
      <c r="A15" s="3" t="s">
        <v>416</v>
      </c>
      <c r="B15" s="4" t="s">
        <v>454</v>
      </c>
      <c r="C15" s="4">
        <v>160</v>
      </c>
      <c r="D15" s="4" t="s">
        <v>455</v>
      </c>
      <c r="E15" s="19">
        <v>1700</v>
      </c>
      <c r="F15" s="20">
        <v>500</v>
      </c>
      <c r="G15" s="19">
        <v>400</v>
      </c>
      <c r="H15" s="11">
        <v>500</v>
      </c>
      <c r="I15" s="4">
        <v>500</v>
      </c>
      <c r="J15" s="4">
        <f t="shared" si="3"/>
        <v>1650</v>
      </c>
      <c r="K15" s="4" t="s">
        <v>450</v>
      </c>
      <c r="L15" s="4">
        <v>30</v>
      </c>
      <c r="M15" s="4">
        <v>50</v>
      </c>
      <c r="N15" s="4">
        <v>100</v>
      </c>
      <c r="O15" s="4">
        <v>0</v>
      </c>
      <c r="P15" s="11">
        <v>50</v>
      </c>
      <c r="Q15" s="38">
        <f t="shared" si="4"/>
        <v>5430</v>
      </c>
      <c r="R15" s="11">
        <v>3000</v>
      </c>
      <c r="S15" s="11">
        <v>600000</v>
      </c>
      <c r="T15" s="11">
        <v>84000000</v>
      </c>
      <c r="U15" s="8"/>
      <c r="V15" s="8"/>
      <c r="W15" s="8"/>
      <c r="X15" s="8"/>
      <c r="Y15" s="8"/>
      <c r="Z15" s="8"/>
    </row>
    <row r="16" spans="1:26" ht="15.75" customHeight="1">
      <c r="A16" s="3" t="s">
        <v>417</v>
      </c>
      <c r="B16" s="4" t="s">
        <v>456</v>
      </c>
      <c r="C16" s="4">
        <v>210</v>
      </c>
      <c r="D16" s="4" t="s">
        <v>457</v>
      </c>
      <c r="E16" s="21">
        <v>3300</v>
      </c>
      <c r="F16" s="19">
        <v>600</v>
      </c>
      <c r="G16" s="19">
        <v>600</v>
      </c>
      <c r="H16" s="11">
        <v>500</v>
      </c>
      <c r="I16" s="4">
        <v>500</v>
      </c>
      <c r="J16" s="4">
        <f t="shared" si="3"/>
        <v>2150</v>
      </c>
      <c r="K16" s="4" t="s">
        <v>450</v>
      </c>
      <c r="L16" s="4">
        <v>30</v>
      </c>
      <c r="M16" s="4">
        <v>50</v>
      </c>
      <c r="N16" s="4">
        <v>100</v>
      </c>
      <c r="O16" s="4">
        <v>0</v>
      </c>
      <c r="P16" s="11">
        <v>50</v>
      </c>
      <c r="Q16" s="38">
        <f t="shared" si="4"/>
        <v>7830</v>
      </c>
      <c r="R16" s="11">
        <v>3000</v>
      </c>
      <c r="S16" s="11">
        <v>600000</v>
      </c>
      <c r="T16" s="11">
        <v>114000000</v>
      </c>
      <c r="U16" s="8"/>
      <c r="V16" s="8"/>
      <c r="W16" s="8"/>
      <c r="X16" s="8"/>
      <c r="Y16" s="8"/>
      <c r="Z16" s="8"/>
    </row>
    <row r="17" spans="1:26" ht="15.75" customHeight="1">
      <c r="A17" s="8"/>
      <c r="B17" s="8"/>
      <c r="C17" s="8"/>
      <c r="D17" s="8"/>
      <c r="E17" s="8"/>
      <c r="F17" s="8"/>
      <c r="G17" s="8"/>
      <c r="H17" s="22" t="s">
        <v>458</v>
      </c>
      <c r="I17" s="8"/>
      <c r="J17" s="8"/>
      <c r="K17" s="8"/>
      <c r="L17" s="8"/>
      <c r="M17" s="8"/>
      <c r="N17" s="8"/>
      <c r="O17" s="8"/>
      <c r="P17" s="8"/>
      <c r="Q17" s="8"/>
      <c r="R17" s="40"/>
      <c r="S17" s="8"/>
      <c r="T17" s="8"/>
      <c r="U17" s="8"/>
      <c r="V17" s="8"/>
      <c r="W17" s="8"/>
      <c r="X17" s="8"/>
      <c r="Y17" s="8"/>
      <c r="Z17" s="8"/>
    </row>
    <row r="18" spans="1:26" ht="15.75" customHeight="1">
      <c r="A18" s="8"/>
      <c r="B18" s="8"/>
      <c r="C18" s="8"/>
      <c r="D18" s="8"/>
      <c r="E18" s="8"/>
      <c r="F18" s="8"/>
      <c r="G18" s="8"/>
      <c r="H18" s="22" t="s">
        <v>459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>
      <c r="A19" s="8"/>
      <c r="B19" s="8"/>
      <c r="C19" s="8"/>
      <c r="D19" s="8"/>
      <c r="E19" s="8"/>
      <c r="F19" s="8"/>
      <c r="G19" s="8"/>
      <c r="H19" s="22" t="s">
        <v>460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8" t="s">
        <v>461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12" t="s">
        <v>434</v>
      </c>
      <c r="B21" s="13" t="s">
        <v>435</v>
      </c>
      <c r="C21" s="13" t="s">
        <v>436</v>
      </c>
      <c r="D21" s="13" t="s">
        <v>437</v>
      </c>
      <c r="E21" s="13" t="s">
        <v>438</v>
      </c>
      <c r="F21" s="13" t="s">
        <v>439</v>
      </c>
      <c r="G21" s="13" t="s">
        <v>440</v>
      </c>
      <c r="H21" s="13" t="s">
        <v>159</v>
      </c>
      <c r="I21" s="13" t="s">
        <v>161</v>
      </c>
      <c r="J21" s="13" t="s">
        <v>462</v>
      </c>
      <c r="K21" s="13" t="s">
        <v>442</v>
      </c>
      <c r="L21" s="13" t="s">
        <v>443</v>
      </c>
      <c r="M21" s="13" t="s">
        <v>444</v>
      </c>
      <c r="N21" s="13" t="s">
        <v>445</v>
      </c>
      <c r="O21" s="13" t="s">
        <v>446</v>
      </c>
      <c r="P21" s="13" t="s">
        <v>139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10">
        <v>45086</v>
      </c>
      <c r="B22" s="4" t="s">
        <v>448</v>
      </c>
      <c r="C22" s="4">
        <v>55</v>
      </c>
      <c r="D22" s="4" t="s">
        <v>449</v>
      </c>
      <c r="E22" s="23">
        <v>1100</v>
      </c>
      <c r="F22" s="24">
        <v>400</v>
      </c>
      <c r="G22" s="24">
        <v>400</v>
      </c>
      <c r="H22" s="25">
        <v>1200</v>
      </c>
      <c r="I22" s="4">
        <v>300</v>
      </c>
      <c r="J22" s="4">
        <f t="shared" ref="J22:J26" si="5">8*C22</f>
        <v>440</v>
      </c>
      <c r="K22" s="4" t="s">
        <v>450</v>
      </c>
      <c r="L22" s="4">
        <v>30</v>
      </c>
      <c r="M22" s="4">
        <v>40</v>
      </c>
      <c r="N22" s="4">
        <v>300</v>
      </c>
      <c r="O22" s="4">
        <v>100</v>
      </c>
      <c r="P22" s="38">
        <f t="shared" ref="P22:P26" si="6">SUM(E22:O22)</f>
        <v>4310</v>
      </c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3">
        <v>13</v>
      </c>
      <c r="B23" s="4" t="s">
        <v>451</v>
      </c>
      <c r="C23" s="4">
        <v>85</v>
      </c>
      <c r="D23" s="4" t="s">
        <v>452</v>
      </c>
      <c r="E23" s="26">
        <v>1500</v>
      </c>
      <c r="F23" s="11">
        <v>500</v>
      </c>
      <c r="G23" s="11">
        <v>500</v>
      </c>
      <c r="H23" s="25">
        <v>1200</v>
      </c>
      <c r="I23" s="4">
        <v>300</v>
      </c>
      <c r="J23" s="4">
        <f t="shared" si="5"/>
        <v>680</v>
      </c>
      <c r="K23" s="4" t="s">
        <v>450</v>
      </c>
      <c r="L23" s="4">
        <v>30</v>
      </c>
      <c r="M23" s="4">
        <v>50</v>
      </c>
      <c r="N23" s="4">
        <v>300</v>
      </c>
      <c r="O23" s="4">
        <v>100</v>
      </c>
      <c r="P23" s="38">
        <f t="shared" si="6"/>
        <v>5160</v>
      </c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10">
        <v>45120</v>
      </c>
      <c r="B24" s="4" t="s">
        <v>463</v>
      </c>
      <c r="C24" s="4">
        <v>100</v>
      </c>
      <c r="D24" s="4" t="s">
        <v>453</v>
      </c>
      <c r="E24" s="26">
        <v>1600</v>
      </c>
      <c r="F24" s="11">
        <v>500</v>
      </c>
      <c r="G24" s="11">
        <v>500</v>
      </c>
      <c r="H24" s="25">
        <v>1200</v>
      </c>
      <c r="I24" s="4">
        <v>300</v>
      </c>
      <c r="J24" s="4">
        <f t="shared" si="5"/>
        <v>800</v>
      </c>
      <c r="K24" s="4" t="s">
        <v>450</v>
      </c>
      <c r="L24" s="4">
        <v>30</v>
      </c>
      <c r="M24" s="4">
        <v>50</v>
      </c>
      <c r="N24" s="4">
        <v>300</v>
      </c>
      <c r="O24" s="4">
        <v>100</v>
      </c>
      <c r="P24" s="38">
        <f t="shared" si="6"/>
        <v>5380</v>
      </c>
      <c r="Q24" s="8"/>
      <c r="R24" s="8"/>
    </row>
    <row r="25" spans="1:26" ht="15.75" customHeight="1">
      <c r="A25" s="3">
        <v>17</v>
      </c>
      <c r="B25" s="4" t="s">
        <v>463</v>
      </c>
      <c r="C25" s="4">
        <v>160</v>
      </c>
      <c r="D25" s="4" t="s">
        <v>455</v>
      </c>
      <c r="E25" s="26">
        <v>1800</v>
      </c>
      <c r="F25" s="11">
        <v>600</v>
      </c>
      <c r="G25" s="11">
        <v>600</v>
      </c>
      <c r="H25" s="25">
        <v>1200</v>
      </c>
      <c r="I25" s="4">
        <v>300</v>
      </c>
      <c r="J25" s="4">
        <f t="shared" si="5"/>
        <v>1280</v>
      </c>
      <c r="K25" s="4" t="s">
        <v>450</v>
      </c>
      <c r="L25" s="4">
        <v>30</v>
      </c>
      <c r="M25" s="4">
        <v>50</v>
      </c>
      <c r="N25" s="4">
        <v>300</v>
      </c>
      <c r="O25" s="4">
        <v>100</v>
      </c>
      <c r="P25" s="38">
        <f t="shared" si="6"/>
        <v>6260</v>
      </c>
      <c r="Q25" s="8"/>
      <c r="R25" s="8"/>
    </row>
    <row r="26" spans="1:26" ht="15.75" customHeight="1">
      <c r="A26" s="3">
        <v>21.5</v>
      </c>
      <c r="B26" s="4" t="s">
        <v>463</v>
      </c>
      <c r="C26" s="4">
        <v>210</v>
      </c>
      <c r="D26" s="4" t="s">
        <v>457</v>
      </c>
      <c r="E26" s="26">
        <v>2100</v>
      </c>
      <c r="F26" s="11">
        <v>800</v>
      </c>
      <c r="G26" s="11">
        <v>600</v>
      </c>
      <c r="H26" s="25">
        <v>1200</v>
      </c>
      <c r="I26" s="4">
        <v>300</v>
      </c>
      <c r="J26" s="4">
        <f t="shared" si="5"/>
        <v>1680</v>
      </c>
      <c r="K26" s="4" t="s">
        <v>450</v>
      </c>
      <c r="L26" s="4">
        <v>30</v>
      </c>
      <c r="M26" s="4">
        <v>50</v>
      </c>
      <c r="N26" s="4">
        <v>300</v>
      </c>
      <c r="O26" s="4">
        <v>100</v>
      </c>
      <c r="P26" s="38">
        <f t="shared" si="6"/>
        <v>7160</v>
      </c>
      <c r="Q26" s="8"/>
      <c r="R26" s="8"/>
    </row>
    <row r="27" spans="1:26" ht="15.75" customHeight="1">
      <c r="A27" s="8"/>
      <c r="B27" s="8"/>
      <c r="C27" s="8"/>
      <c r="D27" s="8"/>
      <c r="E27" s="8"/>
      <c r="F27" s="8"/>
      <c r="G27" s="8"/>
      <c r="H27" s="22" t="s">
        <v>464</v>
      </c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26" ht="15.75" customHeight="1">
      <c r="A28" s="8"/>
      <c r="B28" s="8"/>
      <c r="C28" s="8"/>
      <c r="D28" s="8"/>
      <c r="E28" s="8"/>
      <c r="F28" s="8"/>
      <c r="G28" s="8"/>
      <c r="H28" s="22" t="s">
        <v>465</v>
      </c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26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26" ht="15.75" customHeight="1">
      <c r="A30" s="8" t="s">
        <v>466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26" ht="15.75" customHeight="1">
      <c r="A31" s="12" t="s">
        <v>434</v>
      </c>
      <c r="B31" s="13" t="s">
        <v>435</v>
      </c>
      <c r="C31" s="13" t="s">
        <v>436</v>
      </c>
      <c r="D31" s="13" t="s">
        <v>437</v>
      </c>
      <c r="E31" s="13" t="s">
        <v>438</v>
      </c>
      <c r="F31" s="13" t="s">
        <v>439</v>
      </c>
      <c r="G31" s="13" t="s">
        <v>440</v>
      </c>
      <c r="H31" s="13" t="s">
        <v>159</v>
      </c>
      <c r="I31" s="13" t="s">
        <v>161</v>
      </c>
      <c r="J31" s="13" t="s">
        <v>462</v>
      </c>
      <c r="K31" s="13" t="s">
        <v>442</v>
      </c>
      <c r="L31" s="13" t="s">
        <v>443</v>
      </c>
      <c r="M31" s="13" t="s">
        <v>444</v>
      </c>
      <c r="N31" s="13" t="s">
        <v>467</v>
      </c>
      <c r="O31" s="13" t="s">
        <v>446</v>
      </c>
      <c r="P31" s="13" t="s">
        <v>139</v>
      </c>
      <c r="Q31" s="8"/>
      <c r="R31" s="8"/>
    </row>
    <row r="32" spans="1:26" ht="15.75" customHeight="1">
      <c r="A32" s="10">
        <v>45086</v>
      </c>
      <c r="B32" s="4" t="s">
        <v>448</v>
      </c>
      <c r="C32" s="4">
        <v>55</v>
      </c>
      <c r="D32" s="4" t="s">
        <v>449</v>
      </c>
      <c r="E32" s="23">
        <v>1100</v>
      </c>
      <c r="F32" s="24">
        <v>400</v>
      </c>
      <c r="G32" s="24">
        <v>400</v>
      </c>
      <c r="H32" s="25">
        <v>1500</v>
      </c>
      <c r="I32" s="4">
        <v>0</v>
      </c>
      <c r="J32" s="4">
        <f t="shared" ref="J32:J36" si="7">8*C32</f>
        <v>440</v>
      </c>
      <c r="K32" s="4" t="s">
        <v>450</v>
      </c>
      <c r="L32" s="4">
        <v>30</v>
      </c>
      <c r="M32" s="4">
        <v>40</v>
      </c>
      <c r="N32" s="4">
        <v>300</v>
      </c>
      <c r="O32" s="4">
        <v>100</v>
      </c>
      <c r="P32" s="38">
        <f t="shared" ref="P32:P36" si="8">SUM(E32:O32)</f>
        <v>4310</v>
      </c>
      <c r="Q32" s="8"/>
      <c r="R32" s="8"/>
    </row>
    <row r="33" spans="1:18" ht="15.75" customHeight="1">
      <c r="A33" s="3">
        <v>13</v>
      </c>
      <c r="B33" s="4" t="s">
        <v>451</v>
      </c>
      <c r="C33" s="4">
        <v>85</v>
      </c>
      <c r="D33" s="4" t="s">
        <v>452</v>
      </c>
      <c r="E33" s="26">
        <v>1500</v>
      </c>
      <c r="F33" s="11">
        <v>500</v>
      </c>
      <c r="G33" s="11">
        <v>500</v>
      </c>
      <c r="H33" s="25">
        <v>1500</v>
      </c>
      <c r="I33" s="4">
        <v>0</v>
      </c>
      <c r="J33" s="4">
        <f t="shared" si="7"/>
        <v>680</v>
      </c>
      <c r="K33" s="4" t="s">
        <v>450</v>
      </c>
      <c r="L33" s="4">
        <v>30</v>
      </c>
      <c r="M33" s="4">
        <v>50</v>
      </c>
      <c r="N33" s="4">
        <v>300</v>
      </c>
      <c r="O33" s="4">
        <v>100</v>
      </c>
      <c r="P33" s="38">
        <f t="shared" si="8"/>
        <v>5160</v>
      </c>
      <c r="Q33" s="8"/>
      <c r="R33" s="8"/>
    </row>
    <row r="34" spans="1:18" ht="15.75" customHeight="1">
      <c r="A34" s="10">
        <v>45120</v>
      </c>
      <c r="B34" s="4" t="s">
        <v>463</v>
      </c>
      <c r="C34" s="4">
        <v>100</v>
      </c>
      <c r="D34" s="4" t="s">
        <v>453</v>
      </c>
      <c r="E34" s="26">
        <v>1600</v>
      </c>
      <c r="F34" s="11">
        <v>500</v>
      </c>
      <c r="G34" s="11">
        <v>500</v>
      </c>
      <c r="H34" s="25">
        <v>1500</v>
      </c>
      <c r="I34" s="4">
        <v>0</v>
      </c>
      <c r="J34" s="4">
        <f t="shared" si="7"/>
        <v>800</v>
      </c>
      <c r="K34" s="4" t="s">
        <v>450</v>
      </c>
      <c r="L34" s="4">
        <v>30</v>
      </c>
      <c r="M34" s="4">
        <v>50</v>
      </c>
      <c r="N34" s="4">
        <v>300</v>
      </c>
      <c r="O34" s="4">
        <v>100</v>
      </c>
      <c r="P34" s="38">
        <f t="shared" si="8"/>
        <v>5380</v>
      </c>
      <c r="Q34" s="8"/>
      <c r="R34" s="8"/>
    </row>
    <row r="35" spans="1:18" ht="15.75" customHeight="1">
      <c r="A35" s="3">
        <v>17</v>
      </c>
      <c r="B35" s="4" t="s">
        <v>463</v>
      </c>
      <c r="C35" s="4">
        <v>160</v>
      </c>
      <c r="D35" s="4" t="s">
        <v>455</v>
      </c>
      <c r="E35" s="26">
        <v>1800</v>
      </c>
      <c r="F35" s="11">
        <v>600</v>
      </c>
      <c r="G35" s="11">
        <v>600</v>
      </c>
      <c r="H35" s="25">
        <v>1500</v>
      </c>
      <c r="I35" s="4">
        <v>0</v>
      </c>
      <c r="J35" s="4">
        <f t="shared" si="7"/>
        <v>1280</v>
      </c>
      <c r="K35" s="4" t="s">
        <v>450</v>
      </c>
      <c r="L35" s="4">
        <v>30</v>
      </c>
      <c r="M35" s="4">
        <v>50</v>
      </c>
      <c r="N35" s="4">
        <v>300</v>
      </c>
      <c r="O35" s="4">
        <v>100</v>
      </c>
      <c r="P35" s="38">
        <f t="shared" si="8"/>
        <v>6260</v>
      </c>
      <c r="Q35" s="8"/>
      <c r="R35" s="8"/>
    </row>
    <row r="36" spans="1:18" ht="15.75" customHeight="1">
      <c r="A36" s="3">
        <v>21.5</v>
      </c>
      <c r="B36" s="4" t="s">
        <v>463</v>
      </c>
      <c r="C36" s="4">
        <v>210</v>
      </c>
      <c r="D36" s="4" t="s">
        <v>457</v>
      </c>
      <c r="E36" s="26">
        <v>2100</v>
      </c>
      <c r="F36" s="11">
        <v>800</v>
      </c>
      <c r="G36" s="11">
        <v>600</v>
      </c>
      <c r="H36" s="25">
        <v>1500</v>
      </c>
      <c r="I36" s="4">
        <v>0</v>
      </c>
      <c r="J36" s="4">
        <f t="shared" si="7"/>
        <v>1680</v>
      </c>
      <c r="K36" s="4" t="s">
        <v>450</v>
      </c>
      <c r="L36" s="4">
        <v>30</v>
      </c>
      <c r="M36" s="4">
        <v>50</v>
      </c>
      <c r="N36" s="4">
        <v>300</v>
      </c>
      <c r="O36" s="4">
        <v>100</v>
      </c>
      <c r="P36" s="38">
        <f t="shared" si="8"/>
        <v>7160</v>
      </c>
      <c r="Q36" s="8"/>
      <c r="R36" s="8"/>
    </row>
    <row r="37" spans="1:18" ht="15.75" customHeight="1">
      <c r="A37" s="8"/>
      <c r="B37" s="8"/>
      <c r="C37" s="8"/>
      <c r="D37" s="8"/>
      <c r="E37" s="8"/>
      <c r="F37" s="8"/>
      <c r="G37" s="8"/>
      <c r="H37" s="22" t="s">
        <v>468</v>
      </c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.75" customHeight="1">
      <c r="A38" s="8"/>
      <c r="B38" s="8"/>
      <c r="C38" s="8"/>
      <c r="D38" s="8"/>
      <c r="E38" s="8"/>
      <c r="F38" s="8"/>
      <c r="G38" s="8"/>
      <c r="H38" s="22" t="s">
        <v>469</v>
      </c>
      <c r="I38" s="8"/>
      <c r="J38" s="8"/>
      <c r="K38" s="8"/>
      <c r="L38" s="8"/>
      <c r="M38" s="8"/>
      <c r="N38" s="8"/>
      <c r="O38" s="8"/>
      <c r="P38" s="8"/>
      <c r="Q38" s="8"/>
      <c r="R38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MH - TT - HT</vt:lpstr>
      <vt:lpstr>Chi phí Chặng 1 + 2</vt:lpstr>
      <vt:lpstr>Chi phí chặng 3</vt:lpstr>
      <vt:lpstr>Chi phí chặng 4</vt:lpstr>
      <vt:lpstr>Chi phí chặng 5</vt:lpstr>
      <vt:lpstr>Trang tính5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Xuân</cp:lastModifiedBy>
  <dcterms:created xsi:type="dcterms:W3CDTF">2026-05-04T08:35:00Z</dcterms:created>
  <dcterms:modified xsi:type="dcterms:W3CDTF">2026-05-20T08:23:21Z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BB99DF1C8D63D054DFF7F7697283B3AB_42</vt:lpwstr>
  </property>
  <property fmtid="{D5CDD505-2E9C-101B-9397-08002B2CF9AE}" pid="3" name="KSOProductBuildVer">
    <vt:lpwstr>1033-6.12.1.8654</vt:lpwstr>
  </property>
</Properties>
</file>